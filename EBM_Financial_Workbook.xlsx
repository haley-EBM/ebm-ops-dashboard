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Guide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💰 Revenue Tracker" sheetId="3" state="visible" r:id="rId3"/>
    <sheet xmlns:r="http://schemas.openxmlformats.org/officeDocument/2006/relationships" name="🎭 Entertainment" sheetId="4" state="visible" r:id="rId4"/>
    <sheet xmlns:r="http://schemas.openxmlformats.org/officeDocument/2006/relationships" name="🩷 Beauty &amp; Fashion" sheetId="5" state="visible" r:id="rId5"/>
    <sheet xmlns:r="http://schemas.openxmlformats.org/officeDocument/2006/relationships" name="🟣 Creator" sheetId="6" state="visible" r:id="rId6"/>
    <sheet xmlns:r="http://schemas.openxmlformats.org/officeDocument/2006/relationships" name="🟢 Athlete &amp; Fitness" sheetId="7" state="visible" r:id="rId7"/>
    <sheet xmlns:r="http://schemas.openxmlformats.org/officeDocument/2006/relationships" name="🔵 Brands" sheetId="8" state="visible" r:id="rId8"/>
    <sheet xmlns:r="http://schemas.openxmlformats.org/officeDocument/2006/relationships" name="👥 Compensation" sheetId="9" state="visible" r:id="rId9"/>
    <sheet xmlns:r="http://schemas.openxmlformats.org/officeDocument/2006/relationships" name="⚙️ Ops Budget" sheetId="10" state="visible" r:id="rId10"/>
    <sheet xmlns:r="http://schemas.openxmlformats.org/officeDocument/2006/relationships" name="📅 Financial Summary" sheetId="11" state="visible" r:id="rId11"/>
    <sheet xmlns:r="http://schemas.openxmlformats.org/officeDocument/2006/relationships" name="📋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8C98E"/>
      <sz val="9"/>
    </font>
    <font>
      <name val="Calibri"/>
      <color rgb="001A1A2E"/>
      <sz val="10"/>
    </font>
    <font>
      <name val="Calibri"/>
      <b val="1"/>
      <color rgb="00C8A96E"/>
      <sz val="9"/>
    </font>
    <font>
      <name val="Calibri"/>
      <b val="1"/>
      <color rgb="00495057"/>
      <sz val="9"/>
    </font>
    <font>
      <name val="Calibri"/>
      <b val="1"/>
      <color rgb="000F3460"/>
      <sz val="9"/>
    </font>
    <font>
      <name val="Calibri"/>
      <color rgb="00212529"/>
      <sz val="9"/>
    </font>
    <font>
      <name val="Calibri"/>
      <b val="1"/>
      <color rgb="004CAF82"/>
      <sz val="9"/>
    </font>
    <font>
      <name val="Calibri"/>
      <color rgb="00495057"/>
      <sz val="9"/>
    </font>
    <font>
      <name val="Calibri"/>
      <b val="1"/>
      <color rgb="00E65100"/>
      <sz val="9"/>
    </font>
    <font>
      <name val="Calibri"/>
      <b val="1"/>
      <color rgb="00C62828"/>
      <sz val="9"/>
    </font>
    <font>
      <name val="Calibri"/>
      <b val="1"/>
      <color rgb="00E09050"/>
      <sz val="9"/>
    </font>
    <font>
      <name val="Calibri"/>
      <b val="1"/>
      <color rgb="00C2185B"/>
      <sz val="9"/>
    </font>
    <font>
      <name val="Calibri"/>
      <b val="1"/>
      <color rgb="007B1FA2"/>
      <sz val="9"/>
    </font>
    <font>
      <name val="Calibri"/>
      <b val="1"/>
      <color rgb="002E7D32"/>
      <sz val="9"/>
    </font>
    <font>
      <name val="Calibri"/>
      <b val="1"/>
      <color rgb="001565C0"/>
      <sz val="9"/>
    </font>
    <font>
      <name val="Calibri"/>
      <b val="1"/>
      <color rgb="00868E96"/>
      <sz val="8"/>
    </font>
    <font>
      <name val="Calibri"/>
      <b val="1"/>
      <color rgb="00C8A96E"/>
      <sz val="20"/>
    </font>
    <font>
      <name val="Calibri"/>
      <i val="1"/>
      <color rgb="00868E96"/>
      <sz val="8"/>
    </font>
    <font>
      <name val="Calibri"/>
      <b val="1"/>
      <color rgb="004CAF82"/>
      <sz val="20"/>
    </font>
    <font>
      <name val="Calibri"/>
      <b val="1"/>
      <color rgb="00E0A84A"/>
      <sz val="20"/>
    </font>
    <font>
      <name val="Calibri"/>
      <b val="1"/>
      <color rgb="000F3460"/>
      <sz val="20"/>
    </font>
    <font>
      <name val="Calibri"/>
      <b val="1"/>
      <color rgb="00E05555"/>
      <sz val="20"/>
    </font>
    <font>
      <name val="Calibri"/>
      <b val="1"/>
      <color rgb="00E8C98E"/>
      <sz val="8"/>
    </font>
    <font>
      <name val="Calibri"/>
      <color rgb="00868E96"/>
      <sz val="9"/>
    </font>
    <font>
      <name val="Calibri"/>
      <b val="1"/>
      <color rgb="00FFFFFF"/>
      <sz val="9"/>
    </font>
    <font>
      <name val="Calibri"/>
      <b val="1"/>
      <color rgb="00C8A96E"/>
      <sz val="10"/>
    </font>
    <font>
      <name val="Calibri"/>
      <b val="1"/>
      <color rgb="00E8C98E"/>
      <sz val="9"/>
    </font>
    <font>
      <name val="Calibri"/>
      <b val="1"/>
      <color rgb="00212529"/>
      <sz val="9"/>
    </font>
    <font>
      <name val="Calibri"/>
      <color rgb="00E05555"/>
      <sz val="10"/>
    </font>
    <font>
      <name val="Calibri"/>
      <color rgb="00495057"/>
      <sz val="10"/>
    </font>
    <font>
      <name val="Calibri"/>
      <b val="1"/>
      <color rgb="00E05555"/>
      <sz val="10"/>
    </font>
    <font>
      <name val="Calibri"/>
      <b val="1"/>
      <color rgb="004CAF82"/>
      <sz val="10"/>
    </font>
    <font>
      <name val="Calibri"/>
      <b val="1"/>
      <color rgb="001565C0"/>
      <sz val="10"/>
    </font>
    <font>
      <name val="Calibri"/>
      <b val="1"/>
      <color rgb="00E05555"/>
      <sz val="9"/>
    </font>
    <font>
      <name val="Calibri"/>
      <b val="1"/>
      <color rgb="00C62828"/>
      <sz val="8"/>
    </font>
    <font>
      <name val="Calibri"/>
      <color rgb="00212529"/>
      <sz val="8"/>
    </font>
    <font>
      <name val="Calibri"/>
      <b val="1"/>
      <color rgb="00E65100"/>
      <sz val="8"/>
    </font>
    <font>
      <name val="Calibri"/>
      <b val="1"/>
      <color rgb="001565C0"/>
      <sz val="8"/>
    </font>
    <font>
      <name val="Calibri"/>
      <b val="1"/>
      <color rgb="002E7D52"/>
      <sz val="8"/>
    </font>
    <font>
      <name val="Calibri"/>
      <color rgb="004CAF82"/>
      <sz val="9"/>
    </font>
    <font>
      <name val="Calibri"/>
      <b val="1"/>
      <color rgb="001A1A2E"/>
      <sz val="9"/>
    </font>
    <font>
      <name val="Calibri"/>
      <color rgb="00E09050"/>
      <sz val="9"/>
    </font>
    <font>
      <name val="Calibri"/>
      <color rgb="00495057"/>
      <sz val="8"/>
    </font>
    <font>
      <name val="Calibri"/>
      <color rgb="00E65100"/>
      <sz val="9"/>
    </font>
    <font>
      <name val="Calibri"/>
      <color rgb="00C2185B"/>
      <sz val="9"/>
    </font>
    <font>
      <name val="Calibri"/>
      <color rgb="007B1FA2"/>
      <sz val="9"/>
    </font>
    <font>
      <name val="Calibri"/>
      <b val="1"/>
      <color rgb="00A0854A"/>
      <sz val="8"/>
    </font>
    <font>
      <name val="Calibri"/>
      <color rgb="002E7D32"/>
      <sz val="9"/>
    </font>
    <font>
      <name val="Calibri"/>
      <color rgb="001565C0"/>
      <sz val="9"/>
    </font>
    <font>
      <name val="Calibri"/>
      <color rgb="00E0A84A"/>
      <sz val="9"/>
    </font>
    <font>
      <name val="Calibri"/>
      <color rgb="00868E96"/>
      <sz val="8"/>
    </font>
    <font>
      <name val="Calibri"/>
      <b val="1"/>
      <color rgb="00868E96"/>
      <sz val="9"/>
    </font>
    <font>
      <name val="Calibri"/>
      <color rgb="00E09050"/>
      <sz val="10"/>
    </font>
    <font>
      <name val="Calibri"/>
      <b val="1"/>
      <color rgb="00C8A96E"/>
      <sz val="18"/>
    </font>
    <font>
      <name val="Calibri"/>
      <i val="1"/>
      <color rgb="00E8C98E"/>
      <sz val="8"/>
    </font>
    <font>
      <name val="Calibri"/>
      <b val="1"/>
      <color rgb="00E05555"/>
      <sz val="18"/>
    </font>
    <font>
      <name val="Calibri"/>
      <b val="1"/>
      <color rgb="004CAF82"/>
      <sz val="18"/>
    </font>
    <font>
      <name val="Calibri"/>
      <b val="1"/>
      <color rgb="00C8A96E"/>
      <sz val="11"/>
    </font>
    <font>
      <name val="Calibri"/>
      <color rgb="00C2185B"/>
      <sz val="10"/>
    </font>
    <font>
      <name val="Calibri"/>
      <b val="1"/>
      <color rgb="00E65100"/>
      <sz val="18"/>
    </font>
    <font>
      <name val="Calibri"/>
      <color rgb="00E05555"/>
      <sz val="9"/>
    </font>
    <font>
      <name val="Calibri"/>
      <b val="1"/>
      <color rgb="00E65100"/>
      <sz val="10"/>
    </font>
    <font>
      <name val="Calibri"/>
      <color rgb="007B1FA2"/>
      <sz val="10"/>
    </font>
    <font>
      <name val="Calibri"/>
      <color rgb="002E7D32"/>
      <sz val="10"/>
    </font>
    <font>
      <name val="Calibri"/>
      <color rgb="001565C0"/>
      <sz val="10"/>
    </font>
    <font>
      <name val="Calibri"/>
      <color rgb="000F3460"/>
      <sz val="9"/>
    </font>
    <font>
      <name val="Calibri"/>
      <b val="1"/>
      <color rgb="000F3460"/>
      <sz val="8"/>
    </font>
    <font>
      <name val="Calibri"/>
      <b val="1"/>
      <color rgb="00E05555"/>
      <sz val="11"/>
    </font>
    <font>
      <name val="Calibri"/>
      <color rgb="00FFFFFF"/>
      <sz val="9"/>
    </font>
    <font>
      <name val="Calibri"/>
      <i val="1"/>
      <color rgb="00868E96"/>
      <sz val="9"/>
    </font>
    <font>
      <name val="Calibri"/>
      <i val="1"/>
      <color rgb="00FFFFFF"/>
      <sz val="8"/>
    </font>
    <font>
      <name val="Calibri"/>
      <b val="1"/>
      <color rgb="002E7D52"/>
      <sz val="9"/>
    </font>
    <font>
      <name val="Calibri"/>
      <b val="1"/>
      <color rgb="00A0854A"/>
      <sz val="9"/>
    </font>
  </fonts>
  <fills count="2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EFF1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8A96E"/>
      </patternFill>
    </fill>
    <fill>
      <patternFill patternType="solid">
        <fgColor rgb="004CAF82"/>
      </patternFill>
    </fill>
    <fill>
      <patternFill patternType="solid">
        <fgColor rgb="00E0A84A"/>
      </patternFill>
    </fill>
    <fill>
      <patternFill patternType="solid">
        <fgColor rgb="000F3460"/>
      </patternFill>
    </fill>
    <fill>
      <patternFill patternType="solid">
        <fgColor rgb="00E05555"/>
      </patternFill>
    </fill>
    <fill>
      <patternFill patternType="solid">
        <fgColor rgb="00FDECEA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8F5EE"/>
      </patternFill>
    </fill>
    <fill>
      <patternFill patternType="solid">
        <fgColor rgb="00FFF8EC"/>
      </patternFill>
    </fill>
    <fill>
      <patternFill patternType="solid">
        <fgColor rgb="00E09050"/>
      </patternFill>
    </fill>
    <fill>
      <patternFill patternType="solid">
        <fgColor rgb="00FFF3E8"/>
      </patternFill>
    </fill>
    <fill>
      <patternFill patternType="solid">
        <fgColor rgb="00C2185B"/>
      </patternFill>
    </fill>
    <fill>
      <patternFill patternType="solid">
        <fgColor rgb="00E65100"/>
      </patternFill>
    </fill>
    <fill>
      <patternFill patternType="solid">
        <fgColor rgb="00FCE4EC"/>
      </patternFill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 indent="1"/>
    </xf>
    <xf numFmtId="0" fontId="17" fillId="4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left" vertical="center" indent="1"/>
    </xf>
    <xf numFmtId="0" fontId="20" fillId="4" borderId="0" applyAlignment="1" pivotButton="0" quotePrefix="0" xfId="0">
      <alignment horizontal="left" vertical="center" indent="1"/>
    </xf>
    <xf numFmtId="0" fontId="21" fillId="4" borderId="0" applyAlignment="1" pivotButton="0" quotePrefix="0" xfId="0">
      <alignment horizontal="left" vertical="center" indent="1"/>
    </xf>
    <xf numFmtId="0" fontId="22" fillId="4" borderId="0" applyAlignment="1" pivotButton="0" quotePrefix="0" xfId="0">
      <alignment horizontal="left" vertical="center" indent="1"/>
    </xf>
    <xf numFmtId="0" fontId="23" fillId="4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1"/>
    </xf>
    <xf numFmtId="0" fontId="19" fillId="4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35" fillId="2" borderId="0" applyAlignment="1" pivotButton="0" quotePrefix="0" xfId="0">
      <alignment horizontal="left" vertical="center"/>
    </xf>
    <xf numFmtId="0" fontId="24" fillId="9" borderId="0" applyAlignment="1" pivotButton="0" quotePrefix="0" xfId="0">
      <alignment horizontal="left" vertical="center"/>
    </xf>
    <xf numFmtId="0" fontId="24" fillId="9" borderId="0" applyAlignment="1" pivotButton="0" quotePrefix="0" xfId="0">
      <alignment horizontal="right" vertical="center"/>
    </xf>
    <xf numFmtId="0" fontId="36" fillId="11" borderId="0" applyAlignment="1" pivotButton="0" quotePrefix="0" xfId="0">
      <alignment horizontal="left" vertical="center"/>
    </xf>
    <xf numFmtId="0" fontId="37" fillId="11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right" vertical="center"/>
    </xf>
    <xf numFmtId="0" fontId="25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right" vertical="center"/>
    </xf>
    <xf numFmtId="0" fontId="38" fillId="12" borderId="0" applyAlignment="1" pivotButton="0" quotePrefix="0" xfId="0">
      <alignment horizontal="left" vertical="center"/>
    </xf>
    <xf numFmtId="0" fontId="37" fillId="12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right" vertical="center"/>
    </xf>
    <xf numFmtId="0" fontId="25" fillId="5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/>
    </xf>
    <xf numFmtId="0" fontId="27" fillId="2" borderId="0" applyAlignment="1" pivotButton="0" quotePrefix="0" xfId="0">
      <alignment horizontal="right" vertical="center"/>
    </xf>
    <xf numFmtId="0" fontId="28" fillId="2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right" vertical="center"/>
    </xf>
    <xf numFmtId="0" fontId="15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/>
    </xf>
    <xf numFmtId="0" fontId="29" fillId="4" borderId="0" applyAlignment="1" pivotButton="0" quotePrefix="0" xfId="0">
      <alignment horizontal="left" vertical="center"/>
    </xf>
    <xf numFmtId="0" fontId="27" fillId="4" borderId="0" applyAlignment="1" pivotButton="0" quotePrefix="0" xfId="0">
      <alignment horizontal="right" vertical="center"/>
    </xf>
    <xf numFmtId="0" fontId="39" fillId="13" borderId="0" applyAlignment="1" pivotButton="0" quotePrefix="0" xfId="0">
      <alignment horizontal="left" vertical="center"/>
    </xf>
    <xf numFmtId="0" fontId="37" fillId="13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 vertical="center"/>
    </xf>
    <xf numFmtId="0" fontId="19" fillId="4" borderId="0" applyAlignment="1" pivotButton="0" quotePrefix="0" xfId="0">
      <alignment horizontal="left" vertical="center"/>
    </xf>
    <xf numFmtId="0" fontId="34" fillId="4" borderId="0" applyAlignment="1" pivotButton="0" quotePrefix="0" xfId="0">
      <alignment horizontal="right" vertical="center"/>
    </xf>
    <xf numFmtId="0" fontId="40" fillId="14" borderId="0" applyAlignment="1" pivotButton="0" quotePrefix="0" xfId="0">
      <alignment horizontal="left" vertical="center"/>
    </xf>
    <xf numFmtId="0" fontId="37" fillId="14" borderId="0" applyAlignment="1" pivotButton="0" quotePrefix="0" xfId="0">
      <alignment horizontal="left" vertical="center" wrapText="1"/>
    </xf>
    <xf numFmtId="0" fontId="31" fillId="4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left" vertical="center"/>
    </xf>
    <xf numFmtId="0" fontId="31" fillId="5" borderId="0" applyAlignment="1" pivotButton="0" quotePrefix="0" xfId="0">
      <alignment horizontal="right" vertical="center"/>
    </xf>
    <xf numFmtId="0" fontId="29" fillId="5" borderId="0" applyAlignment="1" pivotButton="0" quotePrefix="0" xfId="0">
      <alignment horizontal="left" vertical="center"/>
    </xf>
    <xf numFmtId="0" fontId="32" fillId="5" borderId="0" applyAlignment="1" pivotButton="0" quotePrefix="0" xfId="0">
      <alignment horizontal="right" vertical="center"/>
    </xf>
    <xf numFmtId="0" fontId="33" fillId="4" borderId="0" applyAlignment="1" pivotButton="0" quotePrefix="0" xfId="0">
      <alignment horizontal="right" vertical="center"/>
    </xf>
    <xf numFmtId="0" fontId="33" fillId="5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right" vertical="center"/>
    </xf>
    <xf numFmtId="0" fontId="41" fillId="5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42" fillId="4" borderId="0" applyAlignment="1" pivotButton="0" quotePrefix="0" xfId="0">
      <alignment horizontal="center" vertical="center"/>
    </xf>
    <xf numFmtId="0" fontId="43" fillId="4" borderId="0" applyAlignment="1" pivotButton="0" quotePrefix="0" xfId="0">
      <alignment horizontal="left" vertical="center"/>
    </xf>
    <xf numFmtId="0" fontId="44" fillId="4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left" vertical="center" wrapText="1"/>
    </xf>
    <xf numFmtId="0" fontId="43" fillId="5" borderId="0" applyAlignment="1" pivotButton="0" quotePrefix="0" xfId="0">
      <alignment horizontal="left" vertical="center"/>
    </xf>
    <xf numFmtId="0" fontId="44" fillId="5" borderId="0" applyAlignment="1" pivotButton="0" quotePrefix="0" xfId="0">
      <alignment horizontal="left" vertical="center"/>
    </xf>
    <xf numFmtId="0" fontId="45" fillId="5" borderId="0" applyAlignment="1" pivotButton="0" quotePrefix="0" xfId="0">
      <alignment horizontal="left" vertical="center"/>
    </xf>
    <xf numFmtId="0" fontId="45" fillId="5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left" vertical="center" wrapText="1"/>
    </xf>
    <xf numFmtId="0" fontId="25" fillId="5" borderId="0" applyAlignment="1" pivotButton="0" quotePrefix="0" xfId="0">
      <alignment horizontal="left" vertical="center"/>
    </xf>
    <xf numFmtId="0" fontId="45" fillId="4" borderId="0" applyAlignment="1" pivotButton="0" quotePrefix="0" xfId="0">
      <alignment horizontal="left" vertical="center"/>
    </xf>
    <xf numFmtId="0" fontId="45" fillId="4" borderId="0" applyAlignment="1" pivotButton="0" quotePrefix="0" xfId="0">
      <alignment horizontal="right" vertical="center"/>
    </xf>
    <xf numFmtId="0" fontId="46" fillId="4" borderId="0" applyAlignment="1" pivotButton="0" quotePrefix="0" xfId="0">
      <alignment horizontal="left" vertical="center"/>
    </xf>
    <xf numFmtId="0" fontId="46" fillId="5" borderId="0" applyAlignment="1" pivotButton="0" quotePrefix="0" xfId="0">
      <alignment horizontal="left" vertical="center"/>
    </xf>
    <xf numFmtId="0" fontId="47" fillId="5" borderId="0" applyAlignment="1" pivotButton="0" quotePrefix="0" xfId="0">
      <alignment horizontal="left" vertical="center"/>
    </xf>
    <xf numFmtId="0" fontId="47" fillId="4" borderId="0" applyAlignment="1" pivotButton="0" quotePrefix="0" xfId="0">
      <alignment horizontal="left" vertical="center"/>
    </xf>
    <xf numFmtId="0" fontId="48" fillId="15" borderId="0" applyAlignment="1" pivotButton="0" quotePrefix="0" xfId="0">
      <alignment horizontal="left" vertical="center"/>
    </xf>
    <xf numFmtId="0" fontId="49" fillId="5" borderId="0" applyAlignment="1" pivotButton="0" quotePrefix="0" xfId="0">
      <alignment horizontal="left" vertical="center"/>
    </xf>
    <xf numFmtId="0" fontId="49" fillId="4" borderId="0" applyAlignment="1" pivotButton="0" quotePrefix="0" xfId="0">
      <alignment horizontal="left" vertical="center"/>
    </xf>
    <xf numFmtId="0" fontId="50" fillId="4" borderId="0" applyAlignment="1" pivotButton="0" quotePrefix="0" xfId="0">
      <alignment horizontal="left" vertical="center"/>
    </xf>
    <xf numFmtId="0" fontId="50" fillId="5" borderId="0" applyAlignment="1" pivotButton="0" quotePrefix="0" xfId="0">
      <alignment horizontal="left" vertical="center"/>
    </xf>
    <xf numFmtId="0" fontId="51" fillId="5" borderId="0" applyAlignment="1" pivotButton="0" quotePrefix="0" xfId="0">
      <alignment horizontal="right" vertical="center"/>
    </xf>
    <xf numFmtId="0" fontId="35" fillId="11" borderId="0" applyAlignment="1" pivotButton="0" quotePrefix="0" xfId="0">
      <alignment horizontal="left" vertical="center"/>
    </xf>
    <xf numFmtId="0" fontId="29" fillId="11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right" vertical="center"/>
    </xf>
    <xf numFmtId="0" fontId="25" fillId="11" borderId="0" applyAlignment="1" pivotButton="0" quotePrefix="0" xfId="0">
      <alignment horizontal="right" vertical="center"/>
    </xf>
    <xf numFmtId="0" fontId="52" fillId="11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left" vertical="center"/>
    </xf>
    <xf numFmtId="0" fontId="53" fillId="5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left" vertical="center"/>
    </xf>
    <xf numFmtId="0" fontId="52" fillId="5" borderId="0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54" fillId="16" borderId="0" applyAlignment="1" pivotButton="0" quotePrefix="0" xfId="0">
      <alignment horizontal="left" vertical="center"/>
    </xf>
    <xf numFmtId="0" fontId="24" fillId="16" borderId="0" applyAlignment="1" pivotButton="0" quotePrefix="0" xfId="0">
      <alignment horizontal="left" vertical="center" indent="1"/>
    </xf>
    <xf numFmtId="0" fontId="55" fillId="16" borderId="0" applyAlignment="1" pivotButton="0" quotePrefix="0" xfId="0">
      <alignment horizontal="left" vertical="center" indent="1"/>
    </xf>
    <xf numFmtId="0" fontId="57" fillId="4" borderId="0" applyAlignment="1" pivotButton="0" quotePrefix="0" xfId="0">
      <alignment horizontal="left" vertical="center" indent="1"/>
    </xf>
    <xf numFmtId="0" fontId="58" fillId="4" borderId="0" applyAlignment="1" pivotButton="0" quotePrefix="0" xfId="0">
      <alignment horizontal="left" vertical="center" indent="1"/>
    </xf>
    <xf numFmtId="0" fontId="56" fillId="16" borderId="0" applyAlignment="1" pivotButton="0" quotePrefix="0" xfId="0">
      <alignment horizontal="left" vertical="center" indent="1"/>
    </xf>
    <xf numFmtId="0" fontId="0" fillId="16" borderId="0" applyAlignment="1" pivotButton="0" quotePrefix="0" xfId="0">
      <alignment horizontal="left" vertical="center"/>
    </xf>
    <xf numFmtId="0" fontId="12" fillId="17" borderId="0" applyAlignment="1" pivotButton="0" quotePrefix="0" xfId="0">
      <alignment horizontal="left" vertical="center"/>
    </xf>
    <xf numFmtId="0" fontId="59" fillId="2" borderId="0" applyAlignment="1" pivotButton="0" quotePrefix="0" xfId="0">
      <alignment horizontal="right" vertical="center"/>
    </xf>
    <xf numFmtId="0" fontId="1" fillId="18" borderId="0" applyAlignment="1" pivotButton="0" quotePrefix="0" xfId="0">
      <alignment horizontal="left" vertical="center"/>
    </xf>
    <xf numFmtId="0" fontId="2" fillId="18" borderId="0" applyAlignment="1" pivotButton="0" quotePrefix="0" xfId="0">
      <alignment horizontal="left" vertical="center"/>
    </xf>
    <xf numFmtId="0" fontId="60" fillId="18" borderId="0" applyAlignment="1" pivotButton="0" quotePrefix="0" xfId="0">
      <alignment horizontal="left" vertical="center"/>
    </xf>
    <xf numFmtId="0" fontId="0" fillId="19" borderId="0" applyAlignment="1" pivotButton="0" quotePrefix="0" xfId="0">
      <alignment horizontal="left" vertical="center"/>
    </xf>
    <xf numFmtId="0" fontId="24" fillId="18" borderId="0" applyAlignment="1" pivotButton="0" quotePrefix="0" xfId="0">
      <alignment horizontal="left" vertical="center" indent="1"/>
    </xf>
    <xf numFmtId="0" fontId="55" fillId="18" borderId="0" applyAlignment="1" pivotButton="0" quotePrefix="0" xfId="0">
      <alignment horizontal="left" vertical="center" indent="1"/>
    </xf>
    <xf numFmtId="0" fontId="61" fillId="4" borderId="0" applyAlignment="1" pivotButton="0" quotePrefix="0" xfId="0">
      <alignment horizontal="left" vertical="center" indent="1"/>
    </xf>
    <xf numFmtId="0" fontId="56" fillId="18" borderId="0" applyAlignment="1" pivotButton="0" quotePrefix="0" xfId="0">
      <alignment horizontal="left" vertical="center" indent="1"/>
    </xf>
    <xf numFmtId="0" fontId="0" fillId="18" borderId="0" applyAlignment="1" pivotButton="0" quotePrefix="0" xfId="0">
      <alignment horizontal="left" vertical="center"/>
    </xf>
    <xf numFmtId="0" fontId="13" fillId="20" borderId="0" applyAlignment="1" pivotButton="0" quotePrefix="0" xfId="0">
      <alignment horizontal="left" vertical="center"/>
    </xf>
    <xf numFmtId="0" fontId="62" fillId="11" borderId="0" applyAlignment="1" pivotButton="0" quotePrefix="0" xfId="0">
      <alignment horizontal="right" vertical="center"/>
    </xf>
    <xf numFmtId="0" fontId="63" fillId="5" borderId="0" applyAlignment="1" pivotButton="0" quotePrefix="0" xfId="0">
      <alignment horizontal="right" vertical="center"/>
    </xf>
    <xf numFmtId="0" fontId="1" fillId="21" borderId="0" applyAlignment="1" pivotButton="0" quotePrefix="0" xfId="0">
      <alignment horizontal="left" vertical="center"/>
    </xf>
    <xf numFmtId="0" fontId="2" fillId="21" borderId="0" applyAlignment="1" pivotButton="0" quotePrefix="0" xfId="0">
      <alignment horizontal="left" vertical="center"/>
    </xf>
    <xf numFmtId="0" fontId="64" fillId="21" borderId="0" applyAlignment="1" pivotButton="0" quotePrefix="0" xfId="0">
      <alignment horizontal="left" vertical="center"/>
    </xf>
    <xf numFmtId="0" fontId="24" fillId="21" borderId="0" applyAlignment="1" pivotButton="0" quotePrefix="0" xfId="0">
      <alignment horizontal="left" vertical="center" indent="1"/>
    </xf>
    <xf numFmtId="0" fontId="55" fillId="21" borderId="0" applyAlignment="1" pivotButton="0" quotePrefix="0" xfId="0">
      <alignment horizontal="left" vertical="center" indent="1"/>
    </xf>
    <xf numFmtId="0" fontId="56" fillId="21" borderId="0" applyAlignment="1" pivotButton="0" quotePrefix="0" xfId="0">
      <alignment horizontal="left" vertical="center" indent="1"/>
    </xf>
    <xf numFmtId="0" fontId="0" fillId="21" borderId="0" applyAlignment="1" pivotButton="0" quotePrefix="0" xfId="0">
      <alignment horizontal="left" vertical="center"/>
    </xf>
    <xf numFmtId="0" fontId="14" fillId="22" borderId="0" applyAlignment="1" pivotButton="0" quotePrefix="0" xfId="0">
      <alignment horizontal="left" vertical="center"/>
    </xf>
    <xf numFmtId="0" fontId="1" fillId="23" borderId="0" applyAlignment="1" pivotButton="0" quotePrefix="0" xfId="0">
      <alignment horizontal="left" vertical="center"/>
    </xf>
    <xf numFmtId="0" fontId="2" fillId="23" borderId="0" applyAlignment="1" pivotButton="0" quotePrefix="0" xfId="0">
      <alignment horizontal="left" vertical="center"/>
    </xf>
    <xf numFmtId="0" fontId="65" fillId="23" borderId="0" applyAlignment="1" pivotButton="0" quotePrefix="0" xfId="0">
      <alignment horizontal="left" vertical="center"/>
    </xf>
    <xf numFmtId="0" fontId="24" fillId="23" borderId="0" applyAlignment="1" pivotButton="0" quotePrefix="0" xfId="0">
      <alignment horizontal="left" vertical="center" indent="1"/>
    </xf>
    <xf numFmtId="0" fontId="55" fillId="23" borderId="0" applyAlignment="1" pivotButton="0" quotePrefix="0" xfId="0">
      <alignment horizontal="left" vertical="center" indent="1"/>
    </xf>
    <xf numFmtId="0" fontId="56" fillId="23" borderId="0" applyAlignment="1" pivotButton="0" quotePrefix="0" xfId="0">
      <alignment horizontal="left" vertical="center" indent="1"/>
    </xf>
    <xf numFmtId="0" fontId="0" fillId="23" borderId="0" applyAlignment="1" pivotButton="0" quotePrefix="0" xfId="0">
      <alignment horizontal="left" vertical="center"/>
    </xf>
    <xf numFmtId="0" fontId="15" fillId="24" borderId="0" applyAlignment="1" pivotButton="0" quotePrefix="0" xfId="0">
      <alignment horizontal="left" vertical="center"/>
    </xf>
    <xf numFmtId="0" fontId="1" fillId="25" borderId="0" applyAlignment="1" pivotButton="0" quotePrefix="0" xfId="0">
      <alignment horizontal="left" vertical="center"/>
    </xf>
    <xf numFmtId="0" fontId="2" fillId="25" borderId="0" applyAlignment="1" pivotButton="0" quotePrefix="0" xfId="0">
      <alignment horizontal="left" vertical="center"/>
    </xf>
    <xf numFmtId="0" fontId="66" fillId="25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 indent="1"/>
    </xf>
    <xf numFmtId="0" fontId="55" fillId="2" borderId="0" applyAlignment="1" pivotButton="0" quotePrefix="0" xfId="0">
      <alignment horizontal="left" vertical="center" indent="1"/>
    </xf>
    <xf numFmtId="0" fontId="56" fillId="2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left" vertical="center"/>
    </xf>
    <xf numFmtId="0" fontId="51" fillId="4" borderId="0" applyAlignment="1" pivotButton="0" quotePrefix="0" xfId="0">
      <alignment horizontal="right" vertical="center"/>
    </xf>
    <xf numFmtId="0" fontId="16" fillId="13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52" fillId="4" borderId="0" applyAlignment="1" pivotButton="0" quotePrefix="0" xfId="0">
      <alignment horizontal="left" vertical="center"/>
    </xf>
    <xf numFmtId="0" fontId="52" fillId="4" borderId="0" applyAlignment="1" pivotButton="0" quotePrefix="0" xfId="0">
      <alignment horizontal="center" vertical="center"/>
    </xf>
    <xf numFmtId="0" fontId="44" fillId="4" borderId="0" applyAlignment="1" pivotButton="0" quotePrefix="0" xfId="0">
      <alignment horizontal="left" vertical="center" wrapText="1"/>
    </xf>
    <xf numFmtId="0" fontId="52" fillId="5" borderId="0" applyAlignment="1" pivotButton="0" quotePrefix="0" xfId="0">
      <alignment horizontal="center" vertical="center"/>
    </xf>
    <xf numFmtId="0" fontId="44" fillId="5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right" vertical="center"/>
    </xf>
    <xf numFmtId="0" fontId="8" fillId="11" borderId="0" applyAlignment="1" pivotButton="0" quotePrefix="0" xfId="0">
      <alignment horizontal="right" vertical="center"/>
    </xf>
    <xf numFmtId="0" fontId="41" fillId="11" borderId="0" applyAlignment="1" pivotButton="0" quotePrefix="0" xfId="0">
      <alignment horizontal="right" vertical="center"/>
    </xf>
    <xf numFmtId="0" fontId="11" fillId="11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left" vertical="center" wrapText="1"/>
    </xf>
    <xf numFmtId="0" fontId="29" fillId="12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left" vertical="center"/>
    </xf>
    <xf numFmtId="0" fontId="25" fillId="12" borderId="0" applyAlignment="1" pivotButton="0" quotePrefix="0" xfId="0">
      <alignment horizontal="right" vertical="center"/>
    </xf>
    <xf numFmtId="0" fontId="7" fillId="12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right" vertical="center"/>
    </xf>
    <xf numFmtId="0" fontId="8" fillId="12" borderId="0" applyAlignment="1" pivotButton="0" quotePrefix="0" xfId="0">
      <alignment horizontal="right" vertical="center"/>
    </xf>
    <xf numFmtId="0" fontId="41" fillId="12" borderId="0" applyAlignment="1" pivotButton="0" quotePrefix="0" xfId="0">
      <alignment horizontal="right" vertical="center"/>
    </xf>
    <xf numFmtId="0" fontId="10" fillId="12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25" fillId="13" borderId="0" applyAlignment="1" pivotButton="0" quotePrefix="0" xfId="0">
      <alignment horizontal="right" vertical="center"/>
    </xf>
    <xf numFmtId="0" fontId="7" fillId="13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right" vertical="center"/>
    </xf>
    <xf numFmtId="0" fontId="8" fillId="13" borderId="0" applyAlignment="1" pivotButton="0" quotePrefix="0" xfId="0">
      <alignment horizontal="right" vertical="center"/>
    </xf>
    <xf numFmtId="0" fontId="41" fillId="13" borderId="0" applyAlignment="1" pivotButton="0" quotePrefix="0" xfId="0">
      <alignment horizontal="right" vertical="center"/>
    </xf>
    <xf numFmtId="0" fontId="67" fillId="13" borderId="0" applyAlignment="1" pivotButton="0" quotePrefix="0" xfId="0">
      <alignment horizontal="left" vertical="center"/>
    </xf>
    <xf numFmtId="0" fontId="68" fillId="13" borderId="0" applyAlignment="1" pivotButton="0" quotePrefix="0" xfId="0">
      <alignment horizontal="left" vertical="center"/>
    </xf>
    <xf numFmtId="0" fontId="19" fillId="13" borderId="0" applyAlignment="1" pivotButton="0" quotePrefix="0" xfId="0">
      <alignment horizontal="left" vertical="center" wrapText="1"/>
    </xf>
    <xf numFmtId="0" fontId="69" fillId="2" borderId="0" applyAlignment="1" pivotButton="0" quotePrefix="0" xfId="0">
      <alignment horizontal="right" vertical="center"/>
    </xf>
    <xf numFmtId="0" fontId="40" fillId="4" borderId="0" applyAlignment="1" pivotButton="0" quotePrefix="0" xfId="0">
      <alignment horizontal="left" vertical="center"/>
    </xf>
    <xf numFmtId="0" fontId="40" fillId="5" borderId="0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center"/>
    </xf>
    <xf numFmtId="0" fontId="38" fillId="5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9" fillId="4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right" vertical="center"/>
    </xf>
    <xf numFmtId="0" fontId="28" fillId="9" borderId="0" applyAlignment="1" pivotButton="0" quotePrefix="0" xfId="0">
      <alignment horizontal="right" vertical="center"/>
    </xf>
    <xf numFmtId="0" fontId="28" fillId="9" borderId="0" applyAlignment="1" pivotButton="0" quotePrefix="0" xfId="0">
      <alignment horizontal="left" vertical="center"/>
    </xf>
    <xf numFmtId="0" fontId="70" fillId="9" borderId="0" applyAlignment="1" pivotButton="0" quotePrefix="0" xfId="0">
      <alignment horizontal="right" vertical="center"/>
    </xf>
    <xf numFmtId="0" fontId="4" fillId="9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 indent="1"/>
    </xf>
    <xf numFmtId="0" fontId="71" fillId="5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1"/>
    </xf>
    <xf numFmtId="0" fontId="71" fillId="4" borderId="0" applyAlignment="1" pivotButton="0" quotePrefix="0" xfId="0">
      <alignment horizontal="right" vertical="center"/>
    </xf>
    <xf numFmtId="0" fontId="35" fillId="9" borderId="0" applyAlignment="1" pivotButton="0" quotePrefix="0" xfId="0">
      <alignment horizontal="right" vertical="center"/>
    </xf>
    <xf numFmtId="0" fontId="5" fillId="9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right" vertical="center"/>
    </xf>
    <xf numFmtId="0" fontId="67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35" fillId="5" borderId="0" applyAlignment="1" pivotButton="0" quotePrefix="0" xfId="0">
      <alignment horizontal="left" vertical="center"/>
    </xf>
    <xf numFmtId="0" fontId="35" fillId="5" borderId="0" applyAlignment="1" pivotButton="0" quotePrefix="0" xfId="0">
      <alignment horizontal="right" vertical="center"/>
    </xf>
    <xf numFmtId="0" fontId="16" fillId="5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right" vertical="center"/>
    </xf>
    <xf numFmtId="0" fontId="35" fillId="4" borderId="0" applyAlignment="1" pivotButton="0" quotePrefix="0" xfId="0">
      <alignment horizontal="left" vertical="center"/>
    </xf>
    <xf numFmtId="0" fontId="35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 vertical="center"/>
    </xf>
    <xf numFmtId="0" fontId="53" fillId="5" borderId="0" applyAlignment="1" pivotButton="0" quotePrefix="0" xfId="0">
      <alignment horizontal="left" vertical="center"/>
    </xf>
    <xf numFmtId="0" fontId="41" fillId="4" borderId="0" applyAlignment="1" pivotButton="0" quotePrefix="0" xfId="0">
      <alignment horizontal="right" vertical="center"/>
    </xf>
    <xf numFmtId="0" fontId="62" fillId="5" borderId="0" applyAlignment="1" pivotButton="0" quotePrefix="0" xfId="0">
      <alignment horizontal="right" vertical="center"/>
    </xf>
    <xf numFmtId="0" fontId="70" fillId="2" borderId="0" applyAlignment="1" pivotButton="0" quotePrefix="0" xfId="0">
      <alignment horizontal="right" vertical="center"/>
    </xf>
    <xf numFmtId="0" fontId="72" fillId="2" borderId="0" applyAlignment="1" pivotButton="0" quotePrefix="0" xfId="0">
      <alignment horizontal="left" vertical="center"/>
    </xf>
    <xf numFmtId="0" fontId="67" fillId="4" borderId="0" applyAlignment="1" pivotButton="0" quotePrefix="0" xfId="0">
      <alignment horizontal="left" vertical="center"/>
    </xf>
    <xf numFmtId="0" fontId="73" fillId="14" borderId="0" applyAlignment="1" pivotButton="0" quotePrefix="0" xfId="0">
      <alignment horizontal="left" vertical="center"/>
    </xf>
    <xf numFmtId="0" fontId="67" fillId="5" borderId="0" applyAlignment="1" pivotButton="0" quotePrefix="0" xfId="0">
      <alignment horizontal="left" vertical="center"/>
    </xf>
    <xf numFmtId="0" fontId="74" fillId="15" borderId="0" applyAlignment="1" pivotButton="0" quotePrefix="0" xfId="0">
      <alignment horizontal="left" vertical="center"/>
    </xf>
    <xf numFmtId="0" fontId="67" fillId="5" borderId="0" applyAlignment="1" pivotButton="0" quotePrefix="0" xfId="0">
      <alignment horizontal="right" vertical="center"/>
    </xf>
    <xf numFmtId="0" fontId="27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 xml:space="preserve">  Emily Blair Media — Financial Workbook</t>
        </is>
      </c>
    </row>
    <row r="2" ht="18" customHeight="1">
      <c r="A2" s="2" t="inlineStr">
        <is>
          <t xml:space="preserve">  How to use this workbook  ·  Last Updated: Jun 3, 2026  ·  Source: Google Drive master data</t>
        </is>
      </c>
    </row>
    <row r="3" ht="6" customHeight="1">
      <c r="A3" s="3" t="inlineStr"/>
    </row>
    <row r="4" ht="20" customHeight="1">
      <c r="A4" s="4" t="inlineStr">
        <is>
          <t xml:space="preserve">  TAB DIRECTORY</t>
        </is>
      </c>
    </row>
    <row r="5" ht="18" customHeight="1">
      <c r="A5" s="5" t="inlineStr">
        <is>
          <t>Tab</t>
        </is>
      </c>
      <c r="B5" s="5" t="inlineStr">
        <is>
          <t>For</t>
        </is>
      </c>
      <c r="C5" s="5" t="inlineStr">
        <is>
          <t>What it shows</t>
        </is>
      </c>
      <c r="D5" s="5" t="inlineStr">
        <is>
          <t>Best used for</t>
        </is>
      </c>
    </row>
    <row r="6" ht="18" customHeight="1">
      <c r="A6" s="6" t="inlineStr">
        <is>
          <t>📊 Dashboard</t>
        </is>
      </c>
      <c r="B6" s="7" t="inlineStr">
        <is>
          <t>Leadership / Emily</t>
        </is>
      </c>
      <c r="C6" s="7" t="inlineStr">
        <is>
          <t>Company P&amp;L, KPIs, alerts, pod margins</t>
        </is>
      </c>
      <c r="D6" s="7" t="inlineStr">
        <is>
          <t>Morning review, board prep</t>
        </is>
      </c>
    </row>
    <row r="7" ht="18" customHeight="1">
      <c r="A7" s="8" t="inlineStr">
        <is>
          <t>💰 Revenue Tracker</t>
        </is>
      </c>
      <c r="B7" s="9" t="inlineStr">
        <is>
          <t>Ops / Finance</t>
        </is>
      </c>
      <c r="C7" s="9" t="inlineStr">
        <is>
          <t>All 40+ clients, status, retainer, contract</t>
        </is>
      </c>
      <c r="D7" s="9" t="inlineStr">
        <is>
          <t>Client audits, pipeline view</t>
        </is>
      </c>
    </row>
    <row r="8" ht="18" customHeight="1">
      <c r="A8" s="6" t="inlineStr">
        <is>
          <t>🎭 Entertainment</t>
        </is>
      </c>
      <c r="B8" s="7" t="inlineStr">
        <is>
          <t>Pod Lead / Julia</t>
        </is>
      </c>
      <c r="C8" s="7" t="inlineStr">
        <is>
          <t>Client roster, team cost, pod P&amp;L</t>
        </is>
      </c>
      <c r="D8" s="7" t="inlineStr">
        <is>
          <t>Weekly pod reviews</t>
        </is>
      </c>
    </row>
    <row r="9" ht="18" customHeight="1">
      <c r="A9" s="8" t="inlineStr">
        <is>
          <t>🩷 Beauty &amp; Fashion</t>
        </is>
      </c>
      <c r="B9" s="9" t="inlineStr">
        <is>
          <t>Pod Lead / Alexis</t>
        </is>
      </c>
      <c r="C9" s="9" t="inlineStr">
        <is>
          <t>Client roster, team cost, pod P&amp;L</t>
        </is>
      </c>
      <c r="D9" s="9" t="inlineStr">
        <is>
          <t>Weekly pod reviews</t>
        </is>
      </c>
    </row>
    <row r="10" ht="18" customHeight="1">
      <c r="A10" s="6" t="inlineStr">
        <is>
          <t>🟣 Creator</t>
        </is>
      </c>
      <c r="B10" s="7" t="inlineStr">
        <is>
          <t>Pod Lead / Jenna</t>
        </is>
      </c>
      <c r="C10" s="7" t="inlineStr">
        <is>
          <t>Client roster, team cost, pod P&amp;L</t>
        </is>
      </c>
      <c r="D10" s="7" t="inlineStr">
        <is>
          <t>Weekly pod reviews</t>
        </is>
      </c>
    </row>
    <row r="11" ht="18" customHeight="1">
      <c r="A11" s="8" t="inlineStr">
        <is>
          <t>🟢 Athlete &amp; Fitness</t>
        </is>
      </c>
      <c r="B11" s="9" t="inlineStr">
        <is>
          <t>Pod Lead / Sophia</t>
        </is>
      </c>
      <c r="C11" s="9" t="inlineStr">
        <is>
          <t>Client roster, team cost, pod P&amp;L</t>
        </is>
      </c>
      <c r="D11" s="9" t="inlineStr">
        <is>
          <t>Weekly pod reviews</t>
        </is>
      </c>
    </row>
    <row r="12" ht="18" customHeight="1">
      <c r="A12" s="6" t="inlineStr">
        <is>
          <t>🔵 Brands</t>
        </is>
      </c>
      <c r="B12" s="7" t="inlineStr">
        <is>
          <t>Anne + Lindsey</t>
        </is>
      </c>
      <c r="C12" s="7" t="inlineStr">
        <is>
          <t>All brand clients, team cost, division P&amp;L</t>
        </is>
      </c>
      <c r="D12" s="7" t="inlineStr">
        <is>
          <t>BD and retention strategy</t>
        </is>
      </c>
    </row>
    <row r="13" ht="18" customHeight="1">
      <c r="A13" s="8" t="inlineStr">
        <is>
          <t>👥 Compensation</t>
        </is>
      </c>
      <c r="B13" s="9" t="inlineStr">
        <is>
          <t>Haley / Emily</t>
        </is>
      </c>
      <c r="C13" s="9" t="inlineStr">
        <is>
          <t>All salaries, raise schedule, urgency flags</t>
        </is>
      </c>
      <c r="D13" s="9" t="inlineStr">
        <is>
          <t>HR planning, payroll reviews</t>
        </is>
      </c>
    </row>
    <row r="14" ht="18" customHeight="1">
      <c r="A14" s="6" t="inlineStr">
        <is>
          <t>⚙️ Ops Budget</t>
        </is>
      </c>
      <c r="B14" s="7" t="inlineStr">
        <is>
          <t>Haley / Finance</t>
        </is>
      </c>
      <c r="C14" s="7" t="inlineStr">
        <is>
          <t>Budget vs actual by category</t>
        </is>
      </c>
      <c r="D14" s="7" t="inlineStr">
        <is>
          <t>Monthly expense reviews</t>
        </is>
      </c>
    </row>
    <row r="15" ht="18" customHeight="1">
      <c r="A15" s="8" t="inlineStr">
        <is>
          <t>📅 Financial Summary</t>
        </is>
      </c>
      <c r="B15" s="9" t="inlineStr">
        <is>
          <t>Emily / Leadership</t>
        </is>
      </c>
      <c r="C15" s="9" t="inlineStr">
        <is>
          <t>Monthly P&amp;L, annual projections, trends</t>
        </is>
      </c>
      <c r="D15" s="9" t="inlineStr">
        <is>
          <t>Strategic planning, fundraising</t>
        </is>
      </c>
    </row>
    <row r="16" ht="18" customHeight="1">
      <c r="A16" s="6" t="inlineStr">
        <is>
          <t>📋 DATA</t>
        </is>
      </c>
      <c r="B16" s="7" t="inlineStr">
        <is>
          <t>Haley (edit only)</t>
        </is>
      </c>
      <c r="C16" s="7" t="inlineStr">
        <is>
          <t>Master data — all formulas read from here</t>
        </is>
      </c>
      <c r="D16" s="7" t="inlineStr">
        <is>
          <t>Monthly updates to source data</t>
        </is>
      </c>
    </row>
    <row r="18" ht="20" customHeight="1">
      <c r="A18" s="4" t="inlineStr">
        <is>
          <t xml:space="preserve">  COLOR LEGEND — SAME ACROSS ALL TABS</t>
        </is>
      </c>
    </row>
    <row r="19" ht="18" customHeight="1">
      <c r="A19" s="10" t="inlineStr">
        <is>
          <t>🟢 Green</t>
        </is>
      </c>
      <c r="B19" s="11" t="inlineStr">
        <is>
          <t xml:space="preserve">  Active client / On budget / Profitable</t>
        </is>
      </c>
    </row>
    <row r="20" ht="18" customHeight="1">
      <c r="A20" s="12" t="inlineStr">
        <is>
          <t>🟡 Amber</t>
        </is>
      </c>
      <c r="B20" s="11" t="inlineStr">
        <is>
          <t xml:space="preserve">  Departing client / Near budget threshold / Caution</t>
        </is>
      </c>
    </row>
    <row r="21" ht="18" customHeight="1">
      <c r="A21" s="13" t="inlineStr">
        <is>
          <t>🔴 Red</t>
        </is>
      </c>
      <c r="B21" s="11" t="inlineStr">
        <is>
          <t xml:space="preserve">  Departed / Over budget / Past due / Loss</t>
        </is>
      </c>
    </row>
    <row r="22" ht="18" customHeight="1">
      <c r="A22" s="14" t="inlineStr">
        <is>
          <t>🟡 Gold</t>
        </is>
      </c>
      <c r="B22" s="11" t="inlineStr">
        <is>
          <t xml:space="preserve">  Key metric / New client / Pro Bono</t>
        </is>
      </c>
    </row>
    <row r="23" ht="18" customHeight="1">
      <c r="A23" s="15" t="inlineStr">
        <is>
          <t>🟠 Orange</t>
        </is>
      </c>
      <c r="B23" s="11" t="inlineStr">
        <is>
          <t xml:space="preserve">  Entertainment pod</t>
        </is>
      </c>
    </row>
    <row r="24" ht="18" customHeight="1">
      <c r="A24" s="16" t="inlineStr">
        <is>
          <t>🩷 Pink/Rose</t>
        </is>
      </c>
      <c r="B24" s="11" t="inlineStr">
        <is>
          <t xml:space="preserve">  Beauty &amp; Fashion pod</t>
        </is>
      </c>
    </row>
    <row r="25" ht="18" customHeight="1">
      <c r="A25" s="17" t="inlineStr">
        <is>
          <t>🟣 Purple</t>
        </is>
      </c>
      <c r="B25" s="11" t="inlineStr">
        <is>
          <t xml:space="preserve">  Creator pod</t>
        </is>
      </c>
    </row>
    <row r="26" ht="18" customHeight="1">
      <c r="A26" s="18" t="inlineStr">
        <is>
          <t>🟢 Forest Green</t>
        </is>
      </c>
      <c r="B26" s="11" t="inlineStr">
        <is>
          <t xml:space="preserve">  Athlete &amp; Fitness pod</t>
        </is>
      </c>
    </row>
    <row r="27" ht="18" customHeight="1">
      <c r="A27" s="19" t="inlineStr">
        <is>
          <t>🔵 Blue</t>
        </is>
      </c>
      <c r="B27" s="11" t="inlineStr">
        <is>
          <t xml:space="preserve">  Brands division</t>
        </is>
      </c>
    </row>
    <row r="29" ht="20" customHeight="1">
      <c r="A29" s="4" t="inlineStr">
        <is>
          <t xml:space="preserve">  KEY DEFINITIONS</t>
        </is>
      </c>
    </row>
    <row r="30" ht="20" customHeight="1">
      <c r="A30" s="20" t="inlineStr">
        <is>
          <t>Net Margin</t>
        </is>
      </c>
      <c r="B30" s="21">
        <f> (Revenue − Total Expenses) ÷ Revenue. Current target: &gt;25%</f>
        <v/>
      </c>
    </row>
    <row r="31" ht="20" customHeight="1">
      <c r="A31" s="20" t="inlineStr">
        <is>
          <t>Pod Margin</t>
        </is>
      </c>
      <c r="B31" s="21">
        <f> (Pod Revenue − Pod Payroll) ÷ Pod Revenue. Does NOT include shared Opex.</f>
        <v/>
      </c>
    </row>
    <row r="32" ht="20" customHeight="1">
      <c r="A32" s="20" t="inlineStr">
        <is>
          <t>Payroll Burden</t>
        </is>
      </c>
      <c r="B32" s="21">
        <f> Total Payroll ÷ Total Revenue. Currently 44.6%. Target: &lt;50%.</f>
        <v/>
      </c>
    </row>
    <row r="33" ht="20" customHeight="1">
      <c r="A33" s="20" t="inlineStr">
        <is>
          <t>Gross Profit</t>
        </is>
      </c>
      <c r="B33" s="21">
        <f> Revenue − Payroll (before Opex)</f>
        <v/>
      </c>
    </row>
    <row r="34" ht="20" customHeight="1">
      <c r="A34" s="20" t="inlineStr">
        <is>
          <t>Net Profit</t>
        </is>
      </c>
      <c r="B34" s="21">
        <f> Revenue − Payroll − Opex. Current: $91,647/mo (33.7%)</f>
        <v/>
      </c>
    </row>
    <row r="35" ht="20" customHeight="1">
      <c r="A35" s="20" t="inlineStr">
        <is>
          <t>Commission Paid Out</t>
        </is>
      </c>
      <c r="B35" s="21">
        <f> Monthly fees paid to external referrers for signed clients. Currently $4,675/mo.</f>
        <v/>
      </c>
    </row>
    <row r="36" ht="20" customHeight="1">
      <c r="A36" s="20" t="inlineStr">
        <is>
          <t>MTM</t>
        </is>
      </c>
      <c r="B36" s="21">
        <f> Month-to-Month (rolling contract with 30-day notice)</f>
        <v/>
      </c>
    </row>
    <row r="37" ht="20" customHeight="1">
      <c r="A37" s="20" t="inlineStr">
        <is>
          <t>PB / Pro Bono</t>
        </is>
      </c>
      <c r="B37" s="21">
        <f> Client receiving services at no charge (or project fee, not retainer)</f>
        <v/>
      </c>
    </row>
    <row r="38" ht="20" customHeight="1">
      <c r="A38" s="20" t="inlineStr">
        <is>
          <t>⚠ Shelton Wilder note</t>
        </is>
      </c>
      <c r="B38" s="21" t="inlineStr">
        <is>
          <t>Shelton Wilder appears as a Brands client at $72,000 in source data. This appears to be a data entry error (annual salary entered instead of monthly retainer). Corrected to $4,500 in Talent/Creator. Brands revenue restated accordingly. Please verify.</t>
        </is>
      </c>
    </row>
  </sheetData>
  <mergeCells count="33">
    <mergeCell ref="A22"/>
    <mergeCell ref="A20"/>
    <mergeCell ref="B24:H24"/>
    <mergeCell ref="B30:H30"/>
    <mergeCell ref="B33:H33"/>
    <mergeCell ref="A1:H1"/>
    <mergeCell ref="A19"/>
    <mergeCell ref="B20:H20"/>
    <mergeCell ref="B37:H37"/>
    <mergeCell ref="B36:H36"/>
    <mergeCell ref="B32:H32"/>
    <mergeCell ref="B26:H26"/>
    <mergeCell ref="B35:H35"/>
    <mergeCell ref="A24"/>
    <mergeCell ref="B25:H25"/>
    <mergeCell ref="B31:H31"/>
    <mergeCell ref="A18:H18"/>
    <mergeCell ref="B22:H22"/>
    <mergeCell ref="A3:H3"/>
    <mergeCell ref="B27:H27"/>
    <mergeCell ref="B21:H21"/>
    <mergeCell ref="A2:H2"/>
    <mergeCell ref="A25"/>
    <mergeCell ref="B23:H23"/>
    <mergeCell ref="A27"/>
    <mergeCell ref="A4:H4"/>
    <mergeCell ref="A29:H29"/>
    <mergeCell ref="A26"/>
    <mergeCell ref="A21"/>
    <mergeCell ref="B38:H38"/>
    <mergeCell ref="B19:H19"/>
    <mergeCell ref="B34:H34"/>
    <mergeCell ref="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96E"/>
    <outlinePr summaryBelow="1" summaryRight="1"/>
    <pageSetUpPr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  <col width="18" customWidth="1" min="8" max="8"/>
    <col width="14" customWidth="1" min="9" max="9"/>
    <col width="14" customWidth="1" min="10" max="10"/>
    <col width="14" customWidth="1" min="11" max="11"/>
    <col width="2" customWidth="1" min="12" max="12"/>
    <col width="22" customWidth="1" min="13" max="13"/>
    <col width="22" customWidth="1" min="14" max="14"/>
  </cols>
  <sheetData>
    <row r="1" ht="40" customHeight="1">
      <c r="A1" s="1" t="inlineStr">
        <is>
          <t xml:space="preserve">  Executive Dashboard — Emily Blair Media</t>
        </is>
      </c>
    </row>
    <row r="2" ht="18" customHeight="1">
      <c r="A2" s="2" t="inlineStr">
        <is>
          <t xml:space="preserve">  Company-wide financial overview  ·  Jun 3, 2026  ·  All figures monthly unless noted</t>
        </is>
      </c>
    </row>
    <row r="3" ht="6" customHeight="1">
      <c r="A3" s="3" t="inlineStr"/>
    </row>
    <row r="4" ht="20" customHeight="1">
      <c r="B4" s="4" t="inlineStr">
        <is>
          <t xml:space="preserve">  KEY PERFORMANCE INDICATORS  ·  June 2026</t>
        </is>
      </c>
    </row>
    <row r="5" ht="5" customHeight="1">
      <c r="B5" s="22" t="inlineStr"/>
      <c r="D5" s="23" t="inlineStr"/>
      <c r="F5" s="23" t="inlineStr"/>
      <c r="H5" s="24" t="inlineStr"/>
      <c r="J5" s="25" t="inlineStr"/>
      <c r="L5" s="26" t="inlineStr"/>
    </row>
    <row r="6" ht="14" customHeight="1">
      <c r="B6" s="27" t="inlineStr">
        <is>
          <t>MONTHLY REVENUE</t>
        </is>
      </c>
      <c r="D6" s="28" t="inlineStr">
        <is>
          <t>NET PROFIT</t>
        </is>
      </c>
      <c r="F6" s="28" t="inlineStr">
        <is>
          <t>NET MARGIN</t>
        </is>
      </c>
      <c r="H6" s="28" t="inlineStr">
        <is>
          <t>PAYROLL / REVENUE</t>
        </is>
      </c>
      <c r="J6" s="28" t="inlineStr">
        <is>
          <t>ACTIVE CLIENTS</t>
        </is>
      </c>
      <c r="L6" s="28" t="inlineStr">
        <is>
          <t>DEPARTING 60 DAYS</t>
        </is>
      </c>
    </row>
    <row r="7" ht="28" customHeight="1">
      <c r="B7" s="29" t="inlineStr">
        <is>
          <t>$272,125</t>
        </is>
      </c>
      <c r="D7" s="30" t="inlineStr">
        <is>
          <t>$91,647</t>
        </is>
      </c>
      <c r="F7" s="30" t="inlineStr">
        <is>
          <t>33.7%</t>
        </is>
      </c>
      <c r="H7" s="31" t="inlineStr">
        <is>
          <t>44.6%</t>
        </is>
      </c>
      <c r="J7" s="32" t="inlineStr">
        <is>
          <t>40</t>
        </is>
      </c>
      <c r="L7" s="33" t="inlineStr">
        <is>
          <t>6</t>
        </is>
      </c>
    </row>
    <row r="8" ht="16" customHeight="1">
      <c r="B8" s="34" t="inlineStr">
        <is>
          <t>Talent + Brands + Socials</t>
        </is>
      </c>
      <c r="D8" s="35" t="inlineStr">
        <is>
          <t>After all expenses — Jun 2026</t>
        </is>
      </c>
      <c r="F8" s="35" t="inlineStr">
        <is>
          <t>↑ from 19.3% last period</t>
        </is>
      </c>
      <c r="H8" s="35" t="inlineStr">
        <is>
          <t>$121,418 of $272,125 — target &lt;50%</t>
        </is>
      </c>
      <c r="J8" s="35" t="inlineStr">
        <is>
          <t>37 paying + 3 pro bono</t>
        </is>
      </c>
      <c r="L8" s="35" t="inlineStr">
        <is>
          <t>$28,025 revenue at risk</t>
        </is>
      </c>
    </row>
    <row r="9" ht="6" customHeight="1">
      <c r="B9" s="36" t="inlineStr"/>
      <c r="D9" s="37" t="inlineStr"/>
      <c r="F9" s="37" t="inlineStr"/>
      <c r="H9" s="37" t="inlineStr"/>
      <c r="J9" s="37" t="inlineStr"/>
      <c r="L9" s="37" t="inlineStr"/>
    </row>
    <row r="11" ht="6" customHeight="1"/>
    <row r="12" ht="20" customHeight="1">
      <c r="B12" s="4" t="inlineStr">
        <is>
          <t xml:space="preserve">  DEPARTMENT REVENUE</t>
        </is>
      </c>
      <c r="G12" s="4" t="inlineStr">
        <is>
          <t xml:space="preserve">  POD P&amp;L — TALENT</t>
        </is>
      </c>
      <c r="M12" s="38" t="inlineStr">
        <is>
          <t xml:space="preserve">  ⚡ ALERTS &amp; ACTION ITEMS</t>
        </is>
      </c>
    </row>
    <row r="13" ht="20" customHeight="1">
      <c r="B13" s="39" t="inlineStr">
        <is>
          <t>Department</t>
        </is>
      </c>
      <c r="C13" s="40" t="inlineStr">
        <is>
          <t>Monthly Rev</t>
        </is>
      </c>
      <c r="D13" s="40" t="inlineStr">
        <is>
          <t>Annual</t>
        </is>
      </c>
      <c r="E13" s="40" t="inlineStr">
        <is>
          <t>% Total</t>
        </is>
      </c>
      <c r="G13" s="39" t="inlineStr">
        <is>
          <t>Pod</t>
        </is>
      </c>
      <c r="H13" s="39" t="inlineStr">
        <is>
          <t>Lead</t>
        </is>
      </c>
      <c r="I13" s="40" t="inlineStr">
        <is>
          <t>Revenue</t>
        </is>
      </c>
      <c r="J13" s="40" t="inlineStr">
        <is>
          <t>Cost</t>
        </is>
      </c>
      <c r="K13" s="40" t="inlineStr">
        <is>
          <t>Margin</t>
        </is>
      </c>
      <c r="M13" s="41" t="inlineStr">
        <is>
          <t>🔴 PAST DUE</t>
        </is>
      </c>
      <c r="N13" s="42" t="inlineStr">
        <is>
          <t>Naomi Rothschild raise — was due 4/14/26</t>
        </is>
      </c>
    </row>
    <row r="14" ht="20" customHeight="1">
      <c r="B14" s="7" t="inlineStr">
        <is>
          <t>Talent Division</t>
        </is>
      </c>
      <c r="C14" s="43" t="inlineStr">
        <is>
          <t>$130,250</t>
        </is>
      </c>
      <c r="D14" s="44" t="inlineStr">
        <is>
          <t>$1,563,000</t>
        </is>
      </c>
      <c r="E14" s="44" t="inlineStr">
        <is>
          <t>47.9%</t>
        </is>
      </c>
      <c r="G14" s="15" t="inlineStr">
        <is>
          <t>Entertainment</t>
        </is>
      </c>
      <c r="H14" s="11" t="inlineStr">
        <is>
          <t>Julia M.</t>
        </is>
      </c>
      <c r="I14" s="45" t="inlineStr">
        <is>
          <t>$31,000</t>
        </is>
      </c>
      <c r="J14" s="44" t="inlineStr">
        <is>
          <t>$11,927</t>
        </is>
      </c>
      <c r="K14" s="46" t="inlineStr">
        <is>
          <t>61.5%</t>
        </is>
      </c>
      <c r="M14" s="47" t="inlineStr">
        <is>
          <t>⚠️ DUE SOON</t>
        </is>
      </c>
      <c r="N14" s="48" t="inlineStr">
        <is>
          <t>Jenna Wilen raise due Jun 15, 2026 (+$125/mo)</t>
        </is>
      </c>
    </row>
    <row r="15" ht="20" customHeight="1">
      <c r="B15" s="9" t="inlineStr">
        <is>
          <t>Brands Division</t>
        </is>
      </c>
      <c r="C15" s="49" t="inlineStr">
        <is>
          <t>$140,075</t>
        </is>
      </c>
      <c r="D15" s="50" t="inlineStr">
        <is>
          <t>$1,680,900</t>
        </is>
      </c>
      <c r="E15" s="50" t="inlineStr">
        <is>
          <t>51.5%</t>
        </is>
      </c>
      <c r="G15" s="51" t="inlineStr">
        <is>
          <t>Beauty &amp; Fashion</t>
        </is>
      </c>
      <c r="H15" s="52" t="inlineStr">
        <is>
          <t>Alexis P.</t>
        </is>
      </c>
      <c r="I15" s="53" t="inlineStr">
        <is>
          <t>$23,000</t>
        </is>
      </c>
      <c r="J15" s="50" t="inlineStr">
        <is>
          <t>$15,947</t>
        </is>
      </c>
      <c r="K15" s="54" t="inlineStr">
        <is>
          <t>30.7%</t>
        </is>
      </c>
      <c r="M15" s="47" t="inlineStr">
        <is>
          <t>⚠️ DEPARTING</t>
        </is>
      </c>
      <c r="N15" s="48" t="inlineStr">
        <is>
          <t>Osier final — Jun 11 (-$4,275/mo)</t>
        </is>
      </c>
    </row>
    <row r="16" ht="20" customHeight="1">
      <c r="B16" s="7" t="inlineStr">
        <is>
          <t>Socials</t>
        </is>
      </c>
      <c r="C16" s="43" t="inlineStr">
        <is>
          <t>$1,800</t>
        </is>
      </c>
      <c r="D16" s="44" t="inlineStr">
        <is>
          <t>$21,600</t>
        </is>
      </c>
      <c r="E16" s="44" t="inlineStr">
        <is>
          <t>0.7%</t>
        </is>
      </c>
      <c r="G16" s="17" t="inlineStr">
        <is>
          <t>Creator</t>
        </is>
      </c>
      <c r="H16" s="11" t="inlineStr">
        <is>
          <t>Jenna W.</t>
        </is>
      </c>
      <c r="I16" s="45" t="inlineStr">
        <is>
          <t>$23,000</t>
        </is>
      </c>
      <c r="J16" s="44" t="inlineStr">
        <is>
          <t>$15,530</t>
        </is>
      </c>
      <c r="K16" s="55" t="inlineStr">
        <is>
          <t>32.5%</t>
        </is>
      </c>
      <c r="M16" s="47" t="inlineStr">
        <is>
          <t>⚠️ DEPARTING</t>
        </is>
      </c>
      <c r="N16" s="48" t="inlineStr">
        <is>
          <t>Donni Davy final — Jun 12 (-$5,000/mo)</t>
        </is>
      </c>
    </row>
    <row r="17" ht="20" customHeight="1">
      <c r="B17" s="56" t="inlineStr">
        <is>
          <t>GRAND TOTAL</t>
        </is>
      </c>
      <c r="C17" s="57" t="inlineStr">
        <is>
          <t>$272,125</t>
        </is>
      </c>
      <c r="D17" s="58" t="inlineStr">
        <is>
          <t>$3,265,500</t>
        </is>
      </c>
      <c r="E17" s="59" t="inlineStr">
        <is>
          <t>100%</t>
        </is>
      </c>
      <c r="G17" s="60" t="inlineStr">
        <is>
          <t>Athlete &amp; Fitness</t>
        </is>
      </c>
      <c r="H17" s="52" t="inlineStr">
        <is>
          <t>Sophia R.</t>
        </is>
      </c>
      <c r="I17" s="53" t="inlineStr">
        <is>
          <t>$34,000</t>
        </is>
      </c>
      <c r="J17" s="50" t="inlineStr">
        <is>
          <t>$10,218</t>
        </is>
      </c>
      <c r="K17" s="61" t="inlineStr">
        <is>
          <t>70.0%</t>
        </is>
      </c>
      <c r="M17" s="47" t="inlineStr">
        <is>
          <t>⚠️ DEPARTING</t>
        </is>
      </c>
      <c r="N17" s="48" t="inlineStr">
        <is>
          <t>Kai Stone final — Jun 16 (-$4,250/mo)</t>
        </is>
      </c>
    </row>
    <row r="18" ht="20" customHeight="1">
      <c r="G18" s="56" t="inlineStr">
        <is>
          <t>TOTAL TALENT</t>
        </is>
      </c>
      <c r="H18" s="36" t="inlineStr"/>
      <c r="I18" s="62" t="inlineStr">
        <is>
          <t>$111,000</t>
        </is>
      </c>
      <c r="J18" s="58" t="inlineStr">
        <is>
          <t>$53,621</t>
        </is>
      </c>
      <c r="K18" s="63" t="inlineStr">
        <is>
          <t>51.7%</t>
        </is>
      </c>
      <c r="M18" s="47" t="inlineStr">
        <is>
          <t>⚠️ DEPARTING</t>
        </is>
      </c>
      <c r="N18" s="48" t="inlineStr">
        <is>
          <t>Westlake Derm final — Jun 18 (-$7,500/mo)</t>
        </is>
      </c>
    </row>
    <row r="19" ht="20" customHeight="1">
      <c r="B19" s="4" t="inlineStr">
        <is>
          <t xml:space="preserve">  P&amp;L SUMMARY</t>
        </is>
      </c>
      <c r="M19" s="47" t="inlineStr">
        <is>
          <t>⚠️ DEPARTING</t>
        </is>
      </c>
      <c r="N19" s="48" t="inlineStr">
        <is>
          <t>Susan Holmes McKagan — Jul 1 (-$5,000/mo)</t>
        </is>
      </c>
    </row>
    <row r="20" ht="20" customHeight="1">
      <c r="B20" s="64" t="inlineStr">
        <is>
          <t>Monthly Revenue</t>
        </is>
      </c>
      <c r="C20" s="65" t="inlineStr">
        <is>
          <t>$272,125</t>
        </is>
      </c>
      <c r="G20" s="4" t="inlineStr">
        <is>
          <t xml:space="preserve">  BRANDS DIVISION P&amp;L</t>
        </is>
      </c>
      <c r="M20" s="66" t="inlineStr">
        <is>
          <t>🔵 DATA FLAG</t>
        </is>
      </c>
      <c r="N20" s="67" t="inlineStr">
        <is>
          <t>Shelton Wilder entry in Brands ($72K) appears to be a data error — see Guide tab</t>
        </is>
      </c>
    </row>
    <row r="21" ht="20" customHeight="1">
      <c r="B21" s="9" t="inlineStr">
        <is>
          <t>Payroll Cost</t>
        </is>
      </c>
      <c r="C21" s="68" t="inlineStr">
        <is>
          <t>$121,418</t>
        </is>
      </c>
      <c r="G21" s="64" t="inlineStr">
        <is>
          <t>Brands Revenue</t>
        </is>
      </c>
      <c r="H21" s="69" t="inlineStr">
        <is>
          <t>⚠ Restated (Shelton Wilder error removed)</t>
        </is>
      </c>
      <c r="I21" s="70" t="inlineStr">
        <is>
          <t>$68,075</t>
        </is>
      </c>
      <c r="M21" s="71" t="inlineStr">
        <is>
          <t>📅 UPCOMING</t>
        </is>
      </c>
      <c r="N21" s="72" t="inlineStr">
        <is>
          <t>Bell Boy embargo lifts 6/21 — Caelynn Bell launch</t>
        </is>
      </c>
    </row>
    <row r="22" ht="20" customHeight="1">
      <c r="B22" s="7" t="inlineStr">
        <is>
          <t>Other Opex</t>
        </is>
      </c>
      <c r="C22" s="73" t="inlineStr">
        <is>
          <t>$73,000</t>
        </is>
      </c>
      <c r="G22" s="9" t="inlineStr">
        <is>
          <t>Team Cost</t>
        </is>
      </c>
      <c r="H22" s="74" t="inlineStr">
        <is>
          <t>Brands team payroll</t>
        </is>
      </c>
      <c r="I22" s="75" t="inlineStr">
        <is>
          <t>$30,187</t>
        </is>
      </c>
      <c r="M22" s="71" t="inlineStr">
        <is>
          <t>📅 UPCOMING</t>
        </is>
      </c>
      <c r="N22" s="72" t="inlineStr">
        <is>
          <t>Julia Matina raise — Aug 23 (+$300/mo)</t>
        </is>
      </c>
    </row>
    <row r="23" ht="20" customHeight="1">
      <c r="B23" s="76" t="inlineStr">
        <is>
          <t>Total Expenses</t>
        </is>
      </c>
      <c r="C23" s="77" t="inlineStr">
        <is>
          <t>$180,478</t>
        </is>
      </c>
      <c r="G23" s="64" t="inlineStr">
        <is>
          <t>Gross Profit</t>
        </is>
      </c>
      <c r="H23" s="69" t="inlineStr">
        <is>
          <t>Before shared opex</t>
        </is>
      </c>
      <c r="I23" s="78" t="inlineStr">
        <is>
          <t>$37,888</t>
        </is>
      </c>
      <c r="M23" s="71" t="inlineStr">
        <is>
          <t>📅 UPCOMING</t>
        </is>
      </c>
      <c r="N23" s="72" t="inlineStr">
        <is>
          <t>Annabel Stolar promotion — Aug 2026 (+$563/mo)</t>
        </is>
      </c>
    </row>
    <row r="24" ht="20" customHeight="1">
      <c r="B24" s="64" t="inlineStr">
        <is>
          <t>Net Profit</t>
        </is>
      </c>
      <c r="C24" s="78" t="inlineStr">
        <is>
          <t>$91,647</t>
        </is>
      </c>
      <c r="G24" s="76" t="inlineStr">
        <is>
          <t>Gross Margin</t>
        </is>
      </c>
      <c r="H24" s="74" t="inlineStr"/>
      <c r="I24" s="79" t="inlineStr">
        <is>
          <t>55.7%</t>
        </is>
      </c>
      <c r="M24" s="71" t="inlineStr">
        <is>
          <t>📅 UPCOMING</t>
        </is>
      </c>
      <c r="N24" s="72" t="inlineStr">
        <is>
          <t>Haley Josephson raise — Sep 3 (+$400/mo)</t>
        </is>
      </c>
    </row>
    <row r="25" ht="18" customHeight="1">
      <c r="B25" s="76" t="inlineStr">
        <is>
          <t>Net Margin</t>
        </is>
      </c>
      <c r="C25" s="79" t="inlineStr">
        <is>
          <t>33.7%</t>
        </is>
      </c>
    </row>
    <row r="26" ht="20" customHeight="1">
      <c r="M26" s="4" t="inlineStr">
        <is>
          <t xml:space="preserve">  OPERATIONS BUDGET SUMMARY</t>
        </is>
      </c>
    </row>
    <row r="27" ht="18" customHeight="1">
      <c r="M27" s="39" t="inlineStr">
        <is>
          <t>Category</t>
        </is>
      </c>
      <c r="N27" s="40" t="inlineStr">
        <is>
          <t>Monthly Budget</t>
        </is>
      </c>
    </row>
    <row r="28" ht="16" customHeight="1">
      <c r="M28" s="7" t="inlineStr">
        <is>
          <t>Meals</t>
        </is>
      </c>
      <c r="N28" s="80" t="inlineStr">
        <is>
          <t>$1,500</t>
        </is>
      </c>
    </row>
    <row r="29" ht="16" customHeight="1">
      <c r="M29" s="9" t="inlineStr">
        <is>
          <t>Travel</t>
        </is>
      </c>
      <c r="N29" s="81" t="inlineStr">
        <is>
          <t>$3,000</t>
        </is>
      </c>
    </row>
    <row r="30" ht="16" customHeight="1">
      <c r="M30" s="7" t="inlineStr">
        <is>
          <t>Muck Rack</t>
        </is>
      </c>
      <c r="N30" s="80" t="inlineStr">
        <is>
          <t>$8,500</t>
        </is>
      </c>
    </row>
    <row r="31" ht="16" customHeight="1">
      <c r="M31" s="9" t="inlineStr">
        <is>
          <t>Software &amp; Subscriptions</t>
        </is>
      </c>
      <c r="N31" s="81" t="inlineStr">
        <is>
          <t>$3,000</t>
        </is>
      </c>
    </row>
    <row r="32" ht="16" customHeight="1">
      <c r="M32" s="7" t="inlineStr">
        <is>
          <t>Recruiting</t>
        </is>
      </c>
      <c r="N32" s="80" t="inlineStr">
        <is>
          <t>$2,000</t>
        </is>
      </c>
    </row>
    <row r="33" ht="16" customHeight="1">
      <c r="M33" s="9" t="inlineStr">
        <is>
          <t>Events &amp; Activations</t>
        </is>
      </c>
      <c r="N33" s="81" t="inlineStr">
        <is>
          <t>$5,000</t>
        </is>
      </c>
    </row>
    <row r="34" ht="16" customHeight="1">
      <c r="M34" s="7" t="inlineStr">
        <is>
          <t>Office &amp; Supplies</t>
        </is>
      </c>
      <c r="N34" s="80" t="inlineStr">
        <is>
          <t>$1,000</t>
        </is>
      </c>
    </row>
    <row r="35" ht="16" customHeight="1">
      <c r="M35" s="9" t="inlineStr">
        <is>
          <t>Other Operating</t>
        </is>
      </c>
      <c r="N35" s="81" t="inlineStr">
        <is>
          <t>$50,000</t>
        </is>
      </c>
    </row>
    <row r="36" ht="20" customHeight="1">
      <c r="M36" s="56" t="inlineStr">
        <is>
          <t>TOTAL OPEX</t>
        </is>
      </c>
      <c r="N36" s="57" t="inlineStr">
        <is>
          <t>$73,000</t>
        </is>
      </c>
    </row>
    <row r="38" ht="20" customHeight="1">
      <c r="M38" s="4" t="inlineStr">
        <is>
          <t xml:space="preserve">  REVENUE GOAL vs ACTUAL</t>
        </is>
      </c>
    </row>
    <row r="39" ht="18" customHeight="1">
      <c r="M39" s="7" t="inlineStr">
        <is>
          <t>Revenue Goal (set 2026)</t>
        </is>
      </c>
      <c r="N39" s="45" t="inlineStr">
        <is>
          <t>$215,000</t>
        </is>
      </c>
    </row>
    <row r="40" ht="18" customHeight="1">
      <c r="M40" s="9" t="inlineStr">
        <is>
          <t>Actual Revenue (Jun 2026)</t>
        </is>
      </c>
      <c r="N40" s="82" t="inlineStr">
        <is>
          <t>$272,125</t>
        </is>
      </c>
    </row>
    <row r="41" ht="18" customHeight="1">
      <c r="M41" s="7" t="inlineStr">
        <is>
          <t>Surplus vs Goal</t>
        </is>
      </c>
      <c r="N41" s="46" t="inlineStr">
        <is>
          <t>+$57,125</t>
        </is>
      </c>
    </row>
    <row r="42" ht="18" customHeight="1">
      <c r="M42" s="9" t="inlineStr">
        <is>
          <t>Goal Achievement</t>
        </is>
      </c>
      <c r="N42" s="61" t="inlineStr">
        <is>
          <t>126.6%</t>
        </is>
      </c>
    </row>
  </sheetData>
  <mergeCells count="45">
    <mergeCell ref="L7:M7"/>
    <mergeCell ref="B7:C7"/>
    <mergeCell ref="J5:K5"/>
    <mergeCell ref="C20:E20"/>
    <mergeCell ref="G12:K12"/>
    <mergeCell ref="I22:K22"/>
    <mergeCell ref="C22:E22"/>
    <mergeCell ref="F6:G6"/>
    <mergeCell ref="C21:E21"/>
    <mergeCell ref="I21:K21"/>
    <mergeCell ref="F7:G7"/>
    <mergeCell ref="A1:N1"/>
    <mergeCell ref="D6:E6"/>
    <mergeCell ref="I24:K24"/>
    <mergeCell ref="H6:I6"/>
    <mergeCell ref="J6:K6"/>
    <mergeCell ref="B4:N4"/>
    <mergeCell ref="F5:G5"/>
    <mergeCell ref="C23:E23"/>
    <mergeCell ref="I23:K23"/>
    <mergeCell ref="L5:M5"/>
    <mergeCell ref="L8:M8"/>
    <mergeCell ref="B8:C8"/>
    <mergeCell ref="F8:G8"/>
    <mergeCell ref="A3:N3"/>
    <mergeCell ref="D7:E7"/>
    <mergeCell ref="M12:N12"/>
    <mergeCell ref="B12:E12"/>
    <mergeCell ref="H7:I7"/>
    <mergeCell ref="A2:N2"/>
    <mergeCell ref="J7:K7"/>
    <mergeCell ref="M26:N26"/>
    <mergeCell ref="C24:E24"/>
    <mergeCell ref="D8:E8"/>
    <mergeCell ref="B6:C6"/>
    <mergeCell ref="G20:K20"/>
    <mergeCell ref="L6:M6"/>
    <mergeCell ref="B5:C5"/>
    <mergeCell ref="M38:N38"/>
    <mergeCell ref="D5:E5"/>
    <mergeCell ref="H5:I5"/>
    <mergeCell ref="B19:E19"/>
    <mergeCell ref="H8:I8"/>
    <mergeCell ref="J8:K8"/>
    <mergeCell ref="C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0854A"/>
    <outlinePr summaryBelow="1" summaryRight="1"/>
    <pageSetUpPr/>
  </sheetPr>
  <dimension ref="A1:I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3" customWidth="1" min="4" max="4"/>
    <col width="14" customWidth="1" min="5" max="5"/>
    <col width="14" customWidth="1" min="6" max="6"/>
    <col width="16" customWidth="1" min="7" max="7"/>
    <col width="14" customWidth="1" min="8" max="8"/>
    <col width="28" customWidth="1" min="9" max="9"/>
  </cols>
  <sheetData>
    <row r="1" ht="40" customHeight="1">
      <c r="A1" s="1" t="inlineStr">
        <is>
          <t xml:space="preserve">  Revenue Tracker — All Clients</t>
        </is>
      </c>
    </row>
    <row r="2" ht="18" customHeight="1">
      <c r="A2" s="2" t="inlineStr">
        <is>
          <t xml:space="preserve">  Complete client roster across all pods and divisions  ·  Jun 3, 2026</t>
        </is>
      </c>
    </row>
    <row r="3" ht="6" customHeight="1">
      <c r="A3" s="3" t="inlineStr"/>
    </row>
    <row r="4" ht="20" customHeight="1">
      <c r="A4" s="4" t="inlineStr">
        <is>
          <t xml:space="preserve">  REVENUE SUMMARY</t>
        </is>
      </c>
    </row>
    <row r="5" ht="24" customHeight="1">
      <c r="A5" s="83" t="inlineStr">
        <is>
          <t>Total Active MRR  $272,125</t>
        </is>
      </c>
      <c r="B5" s="84" t="inlineStr">
        <is>
          <t>Talent Revenue  $130,250</t>
        </is>
      </c>
      <c r="C5" s="84" t="inlineStr">
        <is>
          <t>Brands Revenue  $68,075</t>
        </is>
      </c>
      <c r="D5" s="84" t="inlineStr">
        <is>
          <t>⚠ Revenue at Risk  $28,025</t>
        </is>
      </c>
      <c r="E5" s="84" t="inlineStr">
        <is>
          <t>Pro Bono Clients  3</t>
        </is>
      </c>
    </row>
    <row r="6" ht="6" customHeight="1"/>
    <row r="7" ht="20" customHeight="1">
      <c r="A7" s="4" t="inlineStr">
        <is>
          <t xml:space="preserve">  ACTIVE TALENT CLIENTS  (28 clients)</t>
        </is>
      </c>
    </row>
    <row r="8" ht="18" customHeight="1">
      <c r="A8" s="39" t="inlineStr">
        <is>
          <t>Client</t>
        </is>
      </c>
      <c r="B8" s="39" t="inlineStr">
        <is>
          <t>Pod</t>
        </is>
      </c>
      <c r="C8" s="40" t="inlineStr">
        <is>
          <t>Retainer/Mo</t>
        </is>
      </c>
      <c r="D8" s="40" t="inlineStr">
        <is>
          <t>Annual</t>
        </is>
      </c>
      <c r="E8" s="39" t="inlineStr">
        <is>
          <t>Status</t>
        </is>
      </c>
      <c r="F8" s="39" t="inlineStr">
        <is>
          <t>Contract</t>
        </is>
      </c>
      <c r="G8" s="39" t="inlineStr">
        <is>
          <t>Commission To</t>
        </is>
      </c>
      <c r="H8" s="40" t="inlineStr">
        <is>
          <t>Comm/Mo</t>
        </is>
      </c>
      <c r="I8" s="39" t="inlineStr">
        <is>
          <t>Notes</t>
        </is>
      </c>
    </row>
    <row r="9" ht="17" customHeight="1">
      <c r="A9" s="64" t="inlineStr">
        <is>
          <t>Spencer Pratt</t>
        </is>
      </c>
      <c r="B9" s="85" t="inlineStr">
        <is>
          <t>Entertainment</t>
        </is>
      </c>
      <c r="C9" s="43" t="inlineStr">
        <is>
          <t>$7,500</t>
        </is>
      </c>
      <c r="D9" s="44" t="inlineStr">
        <is>
          <t>$90,000</t>
        </is>
      </c>
      <c r="E9" s="71" t="inlineStr">
        <is>
          <t>Active</t>
        </is>
      </c>
      <c r="F9" s="86" t="inlineStr">
        <is>
          <t>MTM</t>
        </is>
      </c>
      <c r="G9" s="87" t="inlineStr">
        <is>
          <t>—</t>
        </is>
      </c>
      <c r="H9" s="44" t="inlineStr">
        <is>
          <t>—</t>
        </is>
      </c>
      <c r="I9" s="88" t="inlineStr">
        <is>
          <t>LA Mayoral Campaign</t>
        </is>
      </c>
    </row>
    <row r="10" ht="17" customHeight="1">
      <c r="A10" s="76" t="inlineStr">
        <is>
          <t>Kim Gravel</t>
        </is>
      </c>
      <c r="B10" s="89" t="inlineStr">
        <is>
          <t>Entertainment</t>
        </is>
      </c>
      <c r="C10" s="49" t="inlineStr">
        <is>
          <t>$5,000</t>
        </is>
      </c>
      <c r="D10" s="50" t="inlineStr">
        <is>
          <t>$60,000</t>
        </is>
      </c>
      <c r="E10" s="71" t="inlineStr">
        <is>
          <t>Active</t>
        </is>
      </c>
      <c r="F10" s="90" t="inlineStr">
        <is>
          <t>MTM</t>
        </is>
      </c>
      <c r="G10" s="91" t="inlineStr">
        <is>
          <t>Vic</t>
        </is>
      </c>
      <c r="H10" s="92" t="inlineStr">
        <is>
          <t>$1,000</t>
        </is>
      </c>
      <c r="I10" s="93" t="inlineStr"/>
    </row>
    <row r="11" ht="17" customHeight="1">
      <c r="A11" s="64" t="inlineStr">
        <is>
          <t>Gia Giudice</t>
        </is>
      </c>
      <c r="B11" s="85" t="inlineStr">
        <is>
          <t>Entertainment</t>
        </is>
      </c>
      <c r="C11" s="43" t="inlineStr">
        <is>
          <t>$5,000</t>
        </is>
      </c>
      <c r="D11" s="44" t="inlineStr">
        <is>
          <t>$60,000</t>
        </is>
      </c>
      <c r="E11" s="71" t="inlineStr">
        <is>
          <t>Active</t>
        </is>
      </c>
      <c r="F11" s="86" t="inlineStr">
        <is>
          <t>3 then MTM</t>
        </is>
      </c>
      <c r="G11" s="87" t="inlineStr">
        <is>
          <t>—</t>
        </is>
      </c>
      <c r="H11" s="44" t="inlineStr">
        <is>
          <t>—</t>
        </is>
      </c>
      <c r="I11" s="88" t="inlineStr">
        <is>
          <t>x Lucky Honey Espresso Edit</t>
        </is>
      </c>
    </row>
    <row r="12" ht="17" customHeight="1">
      <c r="A12" s="76" t="inlineStr">
        <is>
          <t>QUICI Media Holdings (Cara)</t>
        </is>
      </c>
      <c r="B12" s="89" t="inlineStr">
        <is>
          <t>Entertainment</t>
        </is>
      </c>
      <c r="C12" s="49" t="inlineStr">
        <is>
          <t>$4,500</t>
        </is>
      </c>
      <c r="D12" s="50" t="inlineStr">
        <is>
          <t>$54,000</t>
        </is>
      </c>
      <c r="E12" s="71" t="inlineStr">
        <is>
          <t>Active</t>
        </is>
      </c>
      <c r="F12" s="90" t="inlineStr">
        <is>
          <t>3 months</t>
        </is>
      </c>
      <c r="G12" s="94" t="inlineStr">
        <is>
          <t>—</t>
        </is>
      </c>
      <c r="H12" s="50" t="inlineStr">
        <is>
          <t>—</t>
        </is>
      </c>
      <c r="I12" s="93" t="inlineStr"/>
    </row>
    <row r="13" ht="17" customHeight="1">
      <c r="A13" s="64" t="inlineStr">
        <is>
          <t>Spill Sesh (Kristi Cook)</t>
        </is>
      </c>
      <c r="B13" s="85" t="inlineStr">
        <is>
          <t>Entertainment</t>
        </is>
      </c>
      <c r="C13" s="43" t="inlineStr">
        <is>
          <t>$4,500</t>
        </is>
      </c>
      <c r="D13" s="44" t="inlineStr">
        <is>
          <t>$54,000</t>
        </is>
      </c>
      <c r="E13" s="71" t="inlineStr">
        <is>
          <t>Active</t>
        </is>
      </c>
      <c r="F13" s="86" t="inlineStr">
        <is>
          <t>MTM</t>
        </is>
      </c>
      <c r="G13" s="95" t="inlineStr">
        <is>
          <t>Julia</t>
        </is>
      </c>
      <c r="H13" s="96" t="inlineStr">
        <is>
          <t>$500</t>
        </is>
      </c>
      <c r="I13" s="88" t="inlineStr"/>
    </row>
    <row r="14" ht="17" customHeight="1">
      <c r="A14" s="76" t="inlineStr">
        <is>
          <t>Kat Velasco</t>
        </is>
      </c>
      <c r="B14" s="89" t="inlineStr">
        <is>
          <t>Entertainment</t>
        </is>
      </c>
      <c r="C14" s="49" t="inlineStr">
        <is>
          <t>$4,500</t>
        </is>
      </c>
      <c r="D14" s="50" t="inlineStr">
        <is>
          <t>$54,000</t>
        </is>
      </c>
      <c r="E14" s="71" t="inlineStr">
        <is>
          <t>Active</t>
        </is>
      </c>
      <c r="F14" s="90" t="inlineStr">
        <is>
          <t>3 months</t>
        </is>
      </c>
      <c r="G14" s="91" t="inlineStr">
        <is>
          <t>Lexi Pulling</t>
        </is>
      </c>
      <c r="H14" s="92" t="inlineStr">
        <is>
          <t>$500</t>
        </is>
      </c>
      <c r="I14" s="93" t="inlineStr"/>
    </row>
    <row r="15" ht="17" customHeight="1">
      <c r="A15" s="64" t="inlineStr">
        <is>
          <t>Terry Dubrow</t>
        </is>
      </c>
      <c r="B15" s="97" t="inlineStr">
        <is>
          <t>Beauty &amp; Fashion</t>
        </is>
      </c>
      <c r="C15" s="43" t="inlineStr">
        <is>
          <t>$5,000</t>
        </is>
      </c>
      <c r="D15" s="44" t="inlineStr">
        <is>
          <t>$60,000</t>
        </is>
      </c>
      <c r="E15" s="71" t="inlineStr">
        <is>
          <t>Active</t>
        </is>
      </c>
      <c r="F15" s="86" t="inlineStr">
        <is>
          <t>2 months</t>
        </is>
      </c>
      <c r="G15" s="95" t="inlineStr">
        <is>
          <t>Vic</t>
        </is>
      </c>
      <c r="H15" s="96" t="inlineStr">
        <is>
          <t>$1,000</t>
        </is>
      </c>
      <c r="I15" s="88" t="inlineStr"/>
    </row>
    <row r="16" ht="17" customHeight="1">
      <c r="A16" s="76" t="inlineStr">
        <is>
          <t>Amanda Frances</t>
        </is>
      </c>
      <c r="B16" s="98" t="inlineStr">
        <is>
          <t>Beauty &amp; Fashion</t>
        </is>
      </c>
      <c r="C16" s="49" t="inlineStr">
        <is>
          <t>$5,000</t>
        </is>
      </c>
      <c r="D16" s="50" t="inlineStr">
        <is>
          <t>$60,000</t>
        </is>
      </c>
      <c r="E16" s="71" t="inlineStr">
        <is>
          <t>Active</t>
        </is>
      </c>
      <c r="F16" s="90" t="inlineStr">
        <is>
          <t>6 then MTM</t>
        </is>
      </c>
      <c r="G16" s="94" t="inlineStr">
        <is>
          <t>—</t>
        </is>
      </c>
      <c r="H16" s="50" t="inlineStr">
        <is>
          <t>—</t>
        </is>
      </c>
      <c r="I16" s="93" t="inlineStr"/>
    </row>
    <row r="17" ht="17" customHeight="1">
      <c r="A17" s="64" t="inlineStr">
        <is>
          <t>Miranda McKeon</t>
        </is>
      </c>
      <c r="B17" s="97" t="inlineStr">
        <is>
          <t>Beauty &amp; Fashion</t>
        </is>
      </c>
      <c r="C17" s="43" t="inlineStr">
        <is>
          <t>$4,000</t>
        </is>
      </c>
      <c r="D17" s="44" t="inlineStr">
        <is>
          <t>$48,000</t>
        </is>
      </c>
      <c r="E17" s="71" t="inlineStr">
        <is>
          <t>Active</t>
        </is>
      </c>
      <c r="F17" s="86" t="inlineStr">
        <is>
          <t>6 then MTM</t>
        </is>
      </c>
      <c r="G17" s="87" t="inlineStr">
        <is>
          <t>—</t>
        </is>
      </c>
      <c r="H17" s="44" t="inlineStr">
        <is>
          <t>—</t>
        </is>
      </c>
      <c r="I17" s="88" t="inlineStr">
        <is>
          <t>Post-chemo hair + Women's Health Month</t>
        </is>
      </c>
    </row>
    <row r="18" ht="17" customHeight="1">
      <c r="A18" s="76" t="inlineStr">
        <is>
          <t>Melinda Melrose</t>
        </is>
      </c>
      <c r="B18" s="98" t="inlineStr">
        <is>
          <t>Beauty &amp; Fashion</t>
        </is>
      </c>
      <c r="C18" s="49" t="inlineStr">
        <is>
          <t>$4,500</t>
        </is>
      </c>
      <c r="D18" s="50" t="inlineStr">
        <is>
          <t>$54,000</t>
        </is>
      </c>
      <c r="E18" s="71" t="inlineStr">
        <is>
          <t>Active</t>
        </is>
      </c>
      <c r="F18" s="90" t="inlineStr">
        <is>
          <t>3 months</t>
        </is>
      </c>
      <c r="G18" s="91" t="inlineStr">
        <is>
          <t>Anita</t>
        </is>
      </c>
      <c r="H18" s="92" t="inlineStr">
        <is>
          <t>$500</t>
        </is>
      </c>
      <c r="I18" s="93" t="inlineStr">
        <is>
          <t>D&amp;G Global Makeup Expert 2026</t>
        </is>
      </c>
    </row>
    <row r="19" ht="17" customHeight="1">
      <c r="A19" s="64" t="inlineStr">
        <is>
          <t>Allie Eklund</t>
        </is>
      </c>
      <c r="B19" s="97" t="inlineStr">
        <is>
          <t>Beauty &amp; Fashion</t>
        </is>
      </c>
      <c r="C19" s="43" t="inlineStr">
        <is>
          <t>$4,500</t>
        </is>
      </c>
      <c r="D19" s="44" t="inlineStr">
        <is>
          <t>$54,000</t>
        </is>
      </c>
      <c r="E19" s="71" t="inlineStr">
        <is>
          <t>Active</t>
        </is>
      </c>
      <c r="F19" s="86" t="inlineStr">
        <is>
          <t>3 then MTM</t>
        </is>
      </c>
      <c r="G19" s="87" t="inlineStr">
        <is>
          <t>—</t>
        </is>
      </c>
      <c r="H19" s="44" t="inlineStr">
        <is>
          <t>—</t>
        </is>
      </c>
      <c r="I19" s="88" t="inlineStr"/>
    </row>
    <row r="20" ht="17" customHeight="1">
      <c r="A20" s="76" t="inlineStr">
        <is>
          <t>Violet Witchel</t>
        </is>
      </c>
      <c r="B20" s="99" t="inlineStr">
        <is>
          <t>Creator</t>
        </is>
      </c>
      <c r="C20" s="49" t="inlineStr">
        <is>
          <t>$5,000</t>
        </is>
      </c>
      <c r="D20" s="50" t="inlineStr">
        <is>
          <t>$60,000</t>
        </is>
      </c>
      <c r="E20" s="71" t="inlineStr">
        <is>
          <t>Active</t>
        </is>
      </c>
      <c r="F20" s="90" t="inlineStr">
        <is>
          <t>3 then MTM</t>
        </is>
      </c>
      <c r="G20" s="94" t="inlineStr">
        <is>
          <t>—</t>
        </is>
      </c>
      <c r="H20" s="50" t="inlineStr">
        <is>
          <t>—</t>
        </is>
      </c>
      <c r="I20" s="93" t="inlineStr">
        <is>
          <t>Viral dot cake + NY pop-up</t>
        </is>
      </c>
    </row>
    <row r="21" ht="17" customHeight="1">
      <c r="A21" s="64" t="inlineStr">
        <is>
          <t>G&amp;B Digital Management</t>
        </is>
      </c>
      <c r="B21" s="100" t="inlineStr">
        <is>
          <t>Creator</t>
        </is>
      </c>
      <c r="C21" s="43" t="inlineStr">
        <is>
          <t>$5,000</t>
        </is>
      </c>
      <c r="D21" s="44" t="inlineStr">
        <is>
          <t>$60,000</t>
        </is>
      </c>
      <c r="E21" s="71" t="inlineStr">
        <is>
          <t>Active</t>
        </is>
      </c>
      <c r="F21" s="86" t="inlineStr">
        <is>
          <t>6 then MTM</t>
        </is>
      </c>
      <c r="G21" s="87" t="inlineStr">
        <is>
          <t>—</t>
        </is>
      </c>
      <c r="H21" s="44" t="inlineStr">
        <is>
          <t>—</t>
        </is>
      </c>
      <c r="I21" s="88" t="inlineStr">
        <is>
          <t>Studio launch + UK hire</t>
        </is>
      </c>
    </row>
    <row r="22" ht="17" customHeight="1">
      <c r="A22" s="76" t="inlineStr">
        <is>
          <t>Asante Madrigal</t>
        </is>
      </c>
      <c r="B22" s="99" t="inlineStr">
        <is>
          <t>Creator</t>
        </is>
      </c>
      <c r="C22" s="49" t="inlineStr">
        <is>
          <t>$5,000</t>
        </is>
      </c>
      <c r="D22" s="50" t="inlineStr">
        <is>
          <t>$60,000</t>
        </is>
      </c>
      <c r="E22" s="71" t="inlineStr">
        <is>
          <t>Active</t>
        </is>
      </c>
      <c r="F22" s="90" t="inlineStr">
        <is>
          <t>3 then MTM</t>
        </is>
      </c>
      <c r="G22" s="94" t="inlineStr">
        <is>
          <t>—</t>
        </is>
      </c>
      <c r="H22" s="50" t="inlineStr">
        <is>
          <t>—</t>
        </is>
      </c>
      <c r="I22" s="93" t="inlineStr">
        <is>
          <t>NEW — started 5/26/26</t>
        </is>
      </c>
    </row>
    <row r="23" ht="17" customHeight="1">
      <c r="A23" s="64" t="inlineStr">
        <is>
          <t>Sophie Saint Marjan</t>
        </is>
      </c>
      <c r="B23" s="100" t="inlineStr">
        <is>
          <t>Creator</t>
        </is>
      </c>
      <c r="C23" s="43" t="inlineStr">
        <is>
          <t>$4,500</t>
        </is>
      </c>
      <c r="D23" s="44" t="inlineStr">
        <is>
          <t>$54,000</t>
        </is>
      </c>
      <c r="E23" s="71" t="inlineStr">
        <is>
          <t>Active</t>
        </is>
      </c>
      <c r="F23" s="86" t="inlineStr">
        <is>
          <t>MTM</t>
        </is>
      </c>
      <c r="G23" s="95" t="inlineStr">
        <is>
          <t>Anne</t>
        </is>
      </c>
      <c r="H23" s="96" t="inlineStr">
        <is>
          <t>$500</t>
        </is>
      </c>
      <c r="I23" s="88" t="inlineStr">
        <is>
          <t>BizWomen features</t>
        </is>
      </c>
    </row>
    <row r="24" ht="17" customHeight="1">
      <c r="A24" s="76" t="inlineStr">
        <is>
          <t>Jamie Milne</t>
        </is>
      </c>
      <c r="B24" s="99" t="inlineStr">
        <is>
          <t>Creator</t>
        </is>
      </c>
      <c r="C24" s="49" t="inlineStr">
        <is>
          <t>$4,500</t>
        </is>
      </c>
      <c r="D24" s="50" t="inlineStr">
        <is>
          <t>$54,000</t>
        </is>
      </c>
      <c r="E24" s="71" t="inlineStr">
        <is>
          <t>Active</t>
        </is>
      </c>
      <c r="F24" s="90" t="inlineStr">
        <is>
          <t>MTM</t>
        </is>
      </c>
      <c r="G24" s="94" t="inlineStr">
        <is>
          <t>—</t>
        </is>
      </c>
      <c r="H24" s="50" t="inlineStr">
        <is>
          <t>—</t>
        </is>
      </c>
      <c r="I24" s="93" t="inlineStr">
        <is>
          <t>Snack dinner + mocktails</t>
        </is>
      </c>
    </row>
    <row r="25" ht="17" customHeight="1">
      <c r="A25" s="64" t="inlineStr">
        <is>
          <t>Shelton Wilder</t>
        </is>
      </c>
      <c r="B25" s="100" t="inlineStr">
        <is>
          <t>Creator</t>
        </is>
      </c>
      <c r="C25" s="43" t="inlineStr">
        <is>
          <t>$4,500</t>
        </is>
      </c>
      <c r="D25" s="44" t="inlineStr">
        <is>
          <t>$54,000</t>
        </is>
      </c>
      <c r="E25" s="71" t="inlineStr">
        <is>
          <t>Active</t>
        </is>
      </c>
      <c r="F25" s="86" t="inlineStr">
        <is>
          <t>3 then MTM</t>
        </is>
      </c>
      <c r="G25" s="87" t="inlineStr">
        <is>
          <t>—</t>
        </is>
      </c>
      <c r="H25" s="44" t="inlineStr">
        <is>
          <t>—</t>
        </is>
      </c>
      <c r="I25" s="88" t="inlineStr">
        <is>
          <t>Summer listings angles</t>
        </is>
      </c>
    </row>
    <row r="26" ht="17" customHeight="1">
      <c r="A26" s="76" t="inlineStr">
        <is>
          <t>Brittny Button</t>
        </is>
      </c>
      <c r="B26" s="99" t="inlineStr">
        <is>
          <t>Creator</t>
        </is>
      </c>
      <c r="C26" s="49" t="inlineStr">
        <is>
          <t>$4,000</t>
        </is>
      </c>
      <c r="D26" s="50" t="inlineStr">
        <is>
          <t>$48,000</t>
        </is>
      </c>
      <c r="E26" s="71" t="inlineStr">
        <is>
          <t>Active</t>
        </is>
      </c>
      <c r="F26" s="90" t="inlineStr">
        <is>
          <t>MTM</t>
        </is>
      </c>
      <c r="G26" s="94" t="inlineStr">
        <is>
          <t>—</t>
        </is>
      </c>
      <c r="H26" s="50" t="inlineStr">
        <is>
          <t>—</t>
        </is>
      </c>
      <c r="I26" s="93" t="inlineStr">
        <is>
          <t>Monaco GP GRWM — Paris-based</t>
        </is>
      </c>
    </row>
    <row r="27" ht="17" customHeight="1">
      <c r="A27" s="64" t="inlineStr">
        <is>
          <t>Danielle Cohn</t>
        </is>
      </c>
      <c r="B27" s="100" t="inlineStr">
        <is>
          <t>Creator</t>
        </is>
      </c>
      <c r="C27" s="43" t="inlineStr">
        <is>
          <t>$5,000</t>
        </is>
      </c>
      <c r="D27" s="44" t="inlineStr">
        <is>
          <t>$60,000</t>
        </is>
      </c>
      <c r="E27" s="101" t="inlineStr">
        <is>
          <t>Pro Bono</t>
        </is>
      </c>
      <c r="F27" s="86" t="inlineStr">
        <is>
          <t>PB</t>
        </is>
      </c>
      <c r="G27" s="87" t="inlineStr">
        <is>
          <t>—</t>
        </is>
      </c>
      <c r="H27" s="44" t="inlineStr">
        <is>
          <t>—</t>
        </is>
      </c>
      <c r="I27" s="88" t="inlineStr">
        <is>
          <t>Started 4/20/26</t>
        </is>
      </c>
    </row>
    <row r="28" ht="17" customHeight="1">
      <c r="A28" s="76" t="inlineStr">
        <is>
          <t>Katie Austin</t>
        </is>
      </c>
      <c r="B28" s="102" t="inlineStr">
        <is>
          <t>Athlete &amp; Fitness</t>
        </is>
      </c>
      <c r="C28" s="49" t="inlineStr">
        <is>
          <t>$4,000</t>
        </is>
      </c>
      <c r="D28" s="50" t="inlineStr">
        <is>
          <t>$48,000</t>
        </is>
      </c>
      <c r="E28" s="71" t="inlineStr">
        <is>
          <t>Active</t>
        </is>
      </c>
      <c r="F28" s="90" t="inlineStr">
        <is>
          <t>12 months</t>
        </is>
      </c>
      <c r="G28" s="94" t="inlineStr">
        <is>
          <t>—</t>
        </is>
      </c>
      <c r="H28" s="50" t="inlineStr">
        <is>
          <t>—</t>
        </is>
      </c>
      <c r="I28" s="93" t="inlineStr">
        <is>
          <t>PEOPLE/SI Swim Week</t>
        </is>
      </c>
    </row>
    <row r="29" ht="17" customHeight="1">
      <c r="A29" s="64" t="inlineStr">
        <is>
          <t>Gabby George</t>
        </is>
      </c>
      <c r="B29" s="103" t="inlineStr">
        <is>
          <t>Athlete &amp; Fitness</t>
        </is>
      </c>
      <c r="C29" s="43" t="inlineStr">
        <is>
          <t>$5,000</t>
        </is>
      </c>
      <c r="D29" s="44" t="inlineStr">
        <is>
          <t>$60,000</t>
        </is>
      </c>
      <c r="E29" s="71" t="inlineStr">
        <is>
          <t>Active</t>
        </is>
      </c>
      <c r="F29" s="86" t="inlineStr">
        <is>
          <t>6 then MTM</t>
        </is>
      </c>
      <c r="G29" s="87" t="inlineStr">
        <is>
          <t>—</t>
        </is>
      </c>
      <c r="H29" s="44" t="inlineStr">
        <is>
          <t>—</t>
        </is>
      </c>
      <c r="I29" s="88" t="inlineStr"/>
    </row>
    <row r="30" ht="17" customHeight="1">
      <c r="A30" s="76" t="inlineStr">
        <is>
          <t>Chase DeMoor</t>
        </is>
      </c>
      <c r="B30" s="102" t="inlineStr">
        <is>
          <t>Athlete &amp; Fitness</t>
        </is>
      </c>
      <c r="C30" s="49" t="inlineStr">
        <is>
          <t>$4,500</t>
        </is>
      </c>
      <c r="D30" s="50" t="inlineStr">
        <is>
          <t>$54,000</t>
        </is>
      </c>
      <c r="E30" s="71" t="inlineStr">
        <is>
          <t>Active</t>
        </is>
      </c>
      <c r="F30" s="90" t="inlineStr">
        <is>
          <t>6 then MTM</t>
        </is>
      </c>
      <c r="G30" s="94" t="inlineStr">
        <is>
          <t>—</t>
        </is>
      </c>
      <c r="H30" s="50" t="inlineStr">
        <is>
          <t>—</t>
        </is>
      </c>
      <c r="I30" s="93" t="inlineStr"/>
    </row>
    <row r="31" ht="17" customHeight="1">
      <c r="A31" s="64" t="inlineStr">
        <is>
          <t>Carson Roney</t>
        </is>
      </c>
      <c r="B31" s="103" t="inlineStr">
        <is>
          <t>Athlete &amp; Fitness</t>
        </is>
      </c>
      <c r="C31" s="43" t="inlineStr">
        <is>
          <t>$4,500</t>
        </is>
      </c>
      <c r="D31" s="44" t="inlineStr">
        <is>
          <t>$54,000</t>
        </is>
      </c>
      <c r="E31" s="71" t="inlineStr">
        <is>
          <t>Active</t>
        </is>
      </c>
      <c r="F31" s="86" t="inlineStr">
        <is>
          <t>3 then MTM</t>
        </is>
      </c>
      <c r="G31" s="87" t="inlineStr">
        <is>
          <t>—</t>
        </is>
      </c>
      <c r="H31" s="44" t="inlineStr">
        <is>
          <t>—</t>
        </is>
      </c>
      <c r="I31" s="88" t="inlineStr"/>
    </row>
    <row r="32" ht="17" customHeight="1">
      <c r="A32" s="76" t="inlineStr">
        <is>
          <t>Kail Lowry</t>
        </is>
      </c>
      <c r="B32" s="102" t="inlineStr">
        <is>
          <t>Athlete &amp; Fitness</t>
        </is>
      </c>
      <c r="C32" s="49" t="inlineStr">
        <is>
          <t>$4,500</t>
        </is>
      </c>
      <c r="D32" s="50" t="inlineStr">
        <is>
          <t>$54,000</t>
        </is>
      </c>
      <c r="E32" s="71" t="inlineStr">
        <is>
          <t>Active</t>
        </is>
      </c>
      <c r="F32" s="90" t="inlineStr">
        <is>
          <t>3 months</t>
        </is>
      </c>
      <c r="G32" s="94" t="inlineStr">
        <is>
          <t>—</t>
        </is>
      </c>
      <c r="H32" s="50" t="inlineStr">
        <is>
          <t>—</t>
        </is>
      </c>
      <c r="I32" s="93" t="inlineStr"/>
    </row>
    <row r="33" ht="17" customHeight="1">
      <c r="A33" s="64" t="inlineStr">
        <is>
          <t>TJ Palma</t>
        </is>
      </c>
      <c r="B33" s="103" t="inlineStr">
        <is>
          <t>Athlete &amp; Fitness</t>
        </is>
      </c>
      <c r="C33" s="43" t="inlineStr">
        <is>
          <t>$4,500</t>
        </is>
      </c>
      <c r="D33" s="44" t="inlineStr">
        <is>
          <t>$54,000</t>
        </is>
      </c>
      <c r="E33" s="71" t="inlineStr">
        <is>
          <t>Active</t>
        </is>
      </c>
      <c r="F33" s="86" t="inlineStr">
        <is>
          <t>3 then MTM</t>
        </is>
      </c>
      <c r="G33" s="87" t="inlineStr">
        <is>
          <t>—</t>
        </is>
      </c>
      <c r="H33" s="44" t="inlineStr">
        <is>
          <t>—</t>
        </is>
      </c>
      <c r="I33" s="88" t="inlineStr"/>
    </row>
    <row r="34" ht="17" customHeight="1">
      <c r="A34" s="76" t="inlineStr">
        <is>
          <t>Aditi Shah</t>
        </is>
      </c>
      <c r="B34" s="102" t="inlineStr">
        <is>
          <t>Athlete &amp; Fitness</t>
        </is>
      </c>
      <c r="C34" s="49" t="inlineStr">
        <is>
          <t>$4,000</t>
        </is>
      </c>
      <c r="D34" s="50" t="inlineStr">
        <is>
          <t>$48,000</t>
        </is>
      </c>
      <c r="E34" s="71" t="inlineStr">
        <is>
          <t>Active</t>
        </is>
      </c>
      <c r="F34" s="90" t="inlineStr">
        <is>
          <t>3 months</t>
        </is>
      </c>
      <c r="G34" s="94" t="inlineStr">
        <is>
          <t>—</t>
        </is>
      </c>
      <c r="H34" s="50" t="inlineStr">
        <is>
          <t>—</t>
        </is>
      </c>
      <c r="I34" s="93" t="inlineStr">
        <is>
          <t>Intro rate</t>
        </is>
      </c>
    </row>
    <row r="35" ht="17" customHeight="1">
      <c r="A35" s="64" t="inlineStr">
        <is>
          <t>Millennial Entertainment</t>
        </is>
      </c>
      <c r="B35" s="103" t="inlineStr">
        <is>
          <t>Athlete &amp; Fitness</t>
        </is>
      </c>
      <c r="C35" s="43" t="inlineStr">
        <is>
          <t>$3,000</t>
        </is>
      </c>
      <c r="D35" s="44" t="inlineStr">
        <is>
          <t>$36,000</t>
        </is>
      </c>
      <c r="E35" s="71" t="inlineStr">
        <is>
          <t>Active</t>
        </is>
      </c>
      <c r="F35" s="86" t="inlineStr">
        <is>
          <t>3 then MTM</t>
        </is>
      </c>
      <c r="G35" s="87" t="inlineStr">
        <is>
          <t>—</t>
        </is>
      </c>
      <c r="H35" s="44" t="inlineStr">
        <is>
          <t>—</t>
        </is>
      </c>
      <c r="I35" s="88" t="inlineStr"/>
    </row>
    <row r="36" ht="17" customHeight="1">
      <c r="A36" s="76" t="inlineStr">
        <is>
          <t>Modeliste Magazine</t>
        </is>
      </c>
      <c r="B36" s="102" t="inlineStr">
        <is>
          <t>Athlete &amp; Fitness</t>
        </is>
      </c>
      <c r="C36" s="92" t="inlineStr">
        <is>
          <t>Pro Bono</t>
        </is>
      </c>
      <c r="D36" s="50" t="inlineStr">
        <is>
          <t>—</t>
        </is>
      </c>
      <c r="E36" s="101" t="inlineStr">
        <is>
          <t>Pro Bono</t>
        </is>
      </c>
      <c r="F36" s="90" t="inlineStr">
        <is>
          <t>PB</t>
        </is>
      </c>
      <c r="G36" s="94" t="inlineStr">
        <is>
          <t>—</t>
        </is>
      </c>
      <c r="H36" s="50" t="inlineStr">
        <is>
          <t>—</t>
        </is>
      </c>
      <c r="I36" s="93" t="inlineStr">
        <is>
          <t>$7,500/cover secured</t>
        </is>
      </c>
    </row>
    <row r="38" ht="20" customHeight="1">
      <c r="A38" s="4" t="inlineStr">
        <is>
          <t xml:space="preserve">  ACTIVE BRAND CLIENTS  (10 clients)</t>
        </is>
      </c>
    </row>
    <row r="39" ht="18" customHeight="1">
      <c r="A39" s="39" t="inlineStr">
        <is>
          <t>Client</t>
        </is>
      </c>
      <c r="B39" s="39" t="inlineStr">
        <is>
          <t>AE Lead</t>
        </is>
      </c>
      <c r="C39" s="40" t="inlineStr">
        <is>
          <t>Retainer/Mo</t>
        </is>
      </c>
      <c r="D39" s="40" t="inlineStr">
        <is>
          <t>Annual</t>
        </is>
      </c>
      <c r="E39" s="39" t="inlineStr">
        <is>
          <t>Status</t>
        </is>
      </c>
      <c r="F39" s="39" t="inlineStr">
        <is>
          <t>Contract</t>
        </is>
      </c>
      <c r="G39" s="39" t="inlineStr">
        <is>
          <t>Commission To</t>
        </is>
      </c>
      <c r="H39" s="40" t="inlineStr">
        <is>
          <t>Comm/Mo</t>
        </is>
      </c>
      <c r="I39" s="39" t="inlineStr">
        <is>
          <t>Notes</t>
        </is>
      </c>
    </row>
    <row r="40" ht="17" customHeight="1">
      <c r="A40" s="64" t="inlineStr">
        <is>
          <t>Shop The Sample</t>
        </is>
      </c>
      <c r="B40" s="104" t="inlineStr">
        <is>
          <t>Lindsey</t>
        </is>
      </c>
      <c r="C40" s="43" t="inlineStr">
        <is>
          <t>$12,000</t>
        </is>
      </c>
      <c r="D40" s="44" t="inlineStr">
        <is>
          <t>$144,000</t>
        </is>
      </c>
      <c r="E40" s="71" t="inlineStr">
        <is>
          <t>Active</t>
        </is>
      </c>
      <c r="F40" s="86" t="inlineStr">
        <is>
          <t>6 then MTM</t>
        </is>
      </c>
      <c r="G40" s="95" t="inlineStr">
        <is>
          <t>Victoria</t>
        </is>
      </c>
      <c r="H40" s="96" t="inlineStr">
        <is>
          <t>$3,000</t>
        </is>
      </c>
      <c r="I40" s="88" t="inlineStr">
        <is>
          <t>LA Storefront opening pitch</t>
        </is>
      </c>
    </row>
    <row r="41" ht="17" customHeight="1">
      <c r="A41" s="76" t="inlineStr">
        <is>
          <t>Regen Therapy (Sanjiv Lal)</t>
        </is>
      </c>
      <c r="B41" s="105" t="inlineStr">
        <is>
          <t>Lindsey</t>
        </is>
      </c>
      <c r="C41" s="49" t="inlineStr">
        <is>
          <t>$8,500</t>
        </is>
      </c>
      <c r="D41" s="50" t="inlineStr">
        <is>
          <t>$102,000</t>
        </is>
      </c>
      <c r="E41" s="71" t="inlineStr">
        <is>
          <t>Active</t>
        </is>
      </c>
      <c r="F41" s="90" t="inlineStr">
        <is>
          <t>3 then MTM</t>
        </is>
      </c>
      <c r="G41" s="94" t="inlineStr">
        <is>
          <t>—</t>
        </is>
      </c>
      <c r="H41" s="50" t="inlineStr">
        <is>
          <t>—</t>
        </is>
      </c>
      <c r="I41" s="93" t="inlineStr"/>
    </row>
    <row r="42" ht="17" customHeight="1">
      <c r="A42" s="64" t="inlineStr">
        <is>
          <t>Bell Boy</t>
        </is>
      </c>
      <c r="B42" s="104" t="inlineStr">
        <is>
          <t>Anne</t>
        </is>
      </c>
      <c r="C42" s="43" t="inlineStr">
        <is>
          <t>$7,500</t>
        </is>
      </c>
      <c r="D42" s="44" t="inlineStr">
        <is>
          <t>$90,000</t>
        </is>
      </c>
      <c r="E42" s="71" t="inlineStr">
        <is>
          <t>Active</t>
        </is>
      </c>
      <c r="F42" s="86" t="inlineStr">
        <is>
          <t>MTM</t>
        </is>
      </c>
      <c r="G42" s="87" t="inlineStr">
        <is>
          <t>—</t>
        </is>
      </c>
      <c r="H42" s="44" t="inlineStr">
        <is>
          <t>—</t>
        </is>
      </c>
      <c r="I42" s="88" t="inlineStr">
        <is>
          <t>EMBARGO 6/21 — Caelynn Bell fashion</t>
        </is>
      </c>
    </row>
    <row r="43" ht="17" customHeight="1">
      <c r="A43" s="76" t="inlineStr">
        <is>
          <t>Dolce Glow x Sunnee BAESkin</t>
        </is>
      </c>
      <c r="B43" s="105" t="inlineStr">
        <is>
          <t>Lindsey</t>
        </is>
      </c>
      <c r="C43" s="49" t="inlineStr">
        <is>
          <t>$6,000</t>
        </is>
      </c>
      <c r="D43" s="50" t="inlineStr">
        <is>
          <t>$72,000</t>
        </is>
      </c>
      <c r="E43" s="71" t="inlineStr">
        <is>
          <t>Active</t>
        </is>
      </c>
      <c r="F43" s="90" t="inlineStr">
        <is>
          <t>8 then MTM</t>
        </is>
      </c>
      <c r="G43" s="94" t="inlineStr">
        <is>
          <t>—</t>
        </is>
      </c>
      <c r="H43" s="50" t="inlineStr">
        <is>
          <t>—</t>
        </is>
      </c>
      <c r="I43" s="93" t="inlineStr">
        <is>
          <t>NYLON 100 + Allure + People</t>
        </is>
      </c>
    </row>
    <row r="44" ht="17" customHeight="1">
      <c r="A44" s="64" t="inlineStr">
        <is>
          <t>RedHanded</t>
        </is>
      </c>
      <c r="B44" s="104" t="inlineStr">
        <is>
          <t>Anne</t>
        </is>
      </c>
      <c r="C44" s="43" t="inlineStr">
        <is>
          <t>$5,000</t>
        </is>
      </c>
      <c r="D44" s="44" t="inlineStr">
        <is>
          <t>$60,000</t>
        </is>
      </c>
      <c r="E44" s="71" t="inlineStr">
        <is>
          <t>Active</t>
        </is>
      </c>
      <c r="F44" s="86" t="inlineStr">
        <is>
          <t>6 then MTM</t>
        </is>
      </c>
      <c r="G44" s="87" t="inlineStr">
        <is>
          <t>—</t>
        </is>
      </c>
      <c r="H44" s="44" t="inlineStr">
        <is>
          <t>—</t>
        </is>
      </c>
      <c r="I44" s="88" t="inlineStr">
        <is>
          <t>True crime women — Forbes</t>
        </is>
      </c>
    </row>
    <row r="45" ht="17" customHeight="1">
      <c r="A45" s="76" t="inlineStr">
        <is>
          <t>Odd Muse / Aimee Smale</t>
        </is>
      </c>
      <c r="B45" s="105" t="inlineStr">
        <is>
          <t>Lindsey</t>
        </is>
      </c>
      <c r="C45" s="49" t="inlineStr">
        <is>
          <t>$5,000</t>
        </is>
      </c>
      <c r="D45" s="50" t="inlineStr">
        <is>
          <t>$60,000</t>
        </is>
      </c>
      <c r="E45" s="71" t="inlineStr">
        <is>
          <t>Active</t>
        </is>
      </c>
      <c r="F45" s="90" t="inlineStr">
        <is>
          <t>3 months</t>
        </is>
      </c>
      <c r="G45" s="94" t="inlineStr">
        <is>
          <t>—</t>
        </is>
      </c>
      <c r="H45" s="50" t="inlineStr">
        <is>
          <t>—</t>
        </is>
      </c>
      <c r="I45" s="93" t="inlineStr"/>
    </row>
    <row r="46" ht="17" customHeight="1">
      <c r="A46" s="64" t="inlineStr">
        <is>
          <t>Auri Nutrition</t>
        </is>
      </c>
      <c r="B46" s="104" t="inlineStr">
        <is>
          <t>Lindsey</t>
        </is>
      </c>
      <c r="C46" s="43" t="inlineStr">
        <is>
          <t>$4,250</t>
        </is>
      </c>
      <c r="D46" s="44" t="inlineStr">
        <is>
          <t>$51,000</t>
        </is>
      </c>
      <c r="E46" s="71" t="inlineStr">
        <is>
          <t>Active</t>
        </is>
      </c>
      <c r="F46" s="86" t="inlineStr">
        <is>
          <t>3 months</t>
        </is>
      </c>
      <c r="G46" s="95" t="inlineStr">
        <is>
          <t>Matt</t>
        </is>
      </c>
      <c r="H46" s="96" t="inlineStr">
        <is>
          <t>$750</t>
        </is>
      </c>
      <c r="I46" s="88" t="inlineStr">
        <is>
          <t>Father's Day pitch</t>
        </is>
      </c>
    </row>
    <row r="47" ht="17" customHeight="1">
      <c r="A47" s="76" t="inlineStr">
        <is>
          <t>Olivia Ponton</t>
        </is>
      </c>
      <c r="B47" s="105" t="inlineStr">
        <is>
          <t>Anne</t>
        </is>
      </c>
      <c r="C47" s="49" t="inlineStr">
        <is>
          <t>$4,050</t>
        </is>
      </c>
      <c r="D47" s="50" t="inlineStr">
        <is>
          <t>$48,600</t>
        </is>
      </c>
      <c r="E47" s="71" t="inlineStr">
        <is>
          <t>Active</t>
        </is>
      </c>
      <c r="F47" s="90" t="inlineStr">
        <is>
          <t>3 months</t>
        </is>
      </c>
      <c r="G47" s="91" t="inlineStr">
        <is>
          <t>Anne</t>
        </is>
      </c>
      <c r="H47" s="92" t="inlineStr">
        <is>
          <t>$450</t>
        </is>
      </c>
      <c r="I47" s="93" t="inlineStr">
        <is>
          <t>Cannes GRWM</t>
        </is>
      </c>
    </row>
    <row r="48" ht="17" customHeight="1">
      <c r="A48" s="64" t="inlineStr">
        <is>
          <t>Cameron Rogers</t>
        </is>
      </c>
      <c r="B48" s="104" t="inlineStr">
        <is>
          <t>Lindsey</t>
        </is>
      </c>
      <c r="C48" s="43" t="inlineStr">
        <is>
          <t>$4,000</t>
        </is>
      </c>
      <c r="D48" s="44" t="inlineStr">
        <is>
          <t>$48,000</t>
        </is>
      </c>
      <c r="E48" s="71" t="inlineStr">
        <is>
          <t>Active</t>
        </is>
      </c>
      <c r="F48" s="86" t="inlineStr">
        <is>
          <t>5 months</t>
        </is>
      </c>
      <c r="G48" s="87" t="inlineStr">
        <is>
          <t>—</t>
        </is>
      </c>
      <c r="H48" s="44" t="inlineStr">
        <is>
          <t>—</t>
        </is>
      </c>
      <c r="I48" s="88" t="inlineStr">
        <is>
          <t>Rate reduced 3/15</t>
        </is>
      </c>
    </row>
    <row r="49" ht="17" customHeight="1">
      <c r="A49" s="76" t="inlineStr">
        <is>
          <t>Dripology</t>
        </is>
      </c>
      <c r="B49" s="105" t="inlineStr">
        <is>
          <t>Lindsey</t>
        </is>
      </c>
      <c r="C49" s="106" t="inlineStr">
        <is>
          <t>Rate TBD</t>
        </is>
      </c>
      <c r="D49" s="50" t="inlineStr">
        <is>
          <t>—</t>
        </is>
      </c>
      <c r="E49" s="71" t="inlineStr">
        <is>
          <t>Active</t>
        </is>
      </c>
      <c r="F49" s="90" t="inlineStr">
        <is>
          <t>12 months</t>
        </is>
      </c>
      <c r="G49" s="94" t="inlineStr">
        <is>
          <t>—</t>
        </is>
      </c>
      <c r="H49" s="50" t="inlineStr">
        <is>
          <t>—</t>
        </is>
      </c>
      <c r="I49" s="93" t="inlineStr">
        <is>
          <t>Rate TBD</t>
        </is>
      </c>
    </row>
    <row r="51" ht="20" customHeight="1">
      <c r="A51" s="107" t="inlineStr">
        <is>
          <t xml:space="preserve">  DEPARTING CLIENTS — REVENUE AT RISK</t>
        </is>
      </c>
    </row>
    <row r="52" ht="18" customHeight="1">
      <c r="A52" s="39" t="inlineStr">
        <is>
          <t>Client</t>
        </is>
      </c>
      <c r="B52" s="39" t="inlineStr">
        <is>
          <t>Division</t>
        </is>
      </c>
      <c r="C52" s="40" t="inlineStr">
        <is>
          <t>Retainer/Mo</t>
        </is>
      </c>
      <c r="D52" s="40" t="inlineStr">
        <is>
          <t>Annual Lost</t>
        </is>
      </c>
      <c r="E52" s="39" t="inlineStr">
        <is>
          <t>Status</t>
        </is>
      </c>
      <c r="F52" s="39" t="inlineStr">
        <is>
          <t>Final Date</t>
        </is>
      </c>
      <c r="G52" s="39" t="inlineStr"/>
      <c r="H52" s="39" t="inlineStr"/>
      <c r="I52" s="39" t="inlineStr">
        <is>
          <t>Notes</t>
        </is>
      </c>
    </row>
    <row r="53" ht="17" customHeight="1">
      <c r="A53" s="108" t="inlineStr">
        <is>
          <t>Susan Holmes McKagan</t>
        </is>
      </c>
      <c r="B53" s="109" t="inlineStr">
        <is>
          <t>Beauty &amp; Fashion</t>
        </is>
      </c>
      <c r="C53" s="110" t="inlineStr">
        <is>
          <t>$5,000</t>
        </is>
      </c>
      <c r="D53" s="111" t="inlineStr">
        <is>
          <t>$60,000</t>
        </is>
      </c>
      <c r="E53" s="41" t="inlineStr">
        <is>
          <t>Departing</t>
        </is>
      </c>
      <c r="F53" s="112" t="inlineStr">
        <is>
          <t>3 then MTM</t>
        </is>
      </c>
      <c r="G53" s="113" t="inlineStr"/>
      <c r="H53" s="113" t="inlineStr"/>
      <c r="I53" s="114" t="inlineStr">
        <is>
          <t>Pausing 7/1 · UpDating $5K</t>
        </is>
      </c>
    </row>
    <row r="54" ht="17" customHeight="1">
      <c r="A54" s="108" t="inlineStr">
        <is>
          <t>Donni Davy</t>
        </is>
      </c>
      <c r="B54" s="109" t="inlineStr">
        <is>
          <t>Beauty &amp; Fashion</t>
        </is>
      </c>
      <c r="C54" s="110" t="inlineStr">
        <is>
          <t>$5,000</t>
        </is>
      </c>
      <c r="D54" s="111" t="inlineStr">
        <is>
          <t>$60,000</t>
        </is>
      </c>
      <c r="E54" s="41" t="inlineStr">
        <is>
          <t>Departing</t>
        </is>
      </c>
      <c r="F54" s="112" t="inlineStr">
        <is>
          <t>A20 + ext</t>
        </is>
      </c>
      <c r="G54" s="113" t="inlineStr"/>
      <c r="H54" s="113" t="inlineStr"/>
      <c r="I54" s="114" t="inlineStr">
        <is>
          <t>Final 6/12/2026</t>
        </is>
      </c>
    </row>
    <row r="55" ht="17" customHeight="1">
      <c r="A55" s="108" t="inlineStr">
        <is>
          <t>Paige Lindgren</t>
        </is>
      </c>
      <c r="B55" s="109" t="inlineStr">
        <is>
          <t>Creator</t>
        </is>
      </c>
      <c r="C55" s="110" t="inlineStr">
        <is>
          <t>$5,000</t>
        </is>
      </c>
      <c r="D55" s="111" t="inlineStr">
        <is>
          <t>$60,000</t>
        </is>
      </c>
      <c r="E55" s="41" t="inlineStr">
        <is>
          <t>Departing</t>
        </is>
      </c>
      <c r="F55" s="112" t="inlineStr">
        <is>
          <t>6 months</t>
        </is>
      </c>
      <c r="G55" s="113" t="inlineStr"/>
      <c r="H55" s="113" t="inlineStr"/>
      <c r="I55" s="114" t="inlineStr">
        <is>
          <t>⚠ Final 6/3/2026</t>
        </is>
      </c>
    </row>
    <row r="56" ht="17" customHeight="1">
      <c r="A56" s="108" t="inlineStr">
        <is>
          <t>Kai Stone</t>
        </is>
      </c>
      <c r="B56" s="109" t="inlineStr">
        <is>
          <t>Creator</t>
        </is>
      </c>
      <c r="C56" s="110" t="inlineStr">
        <is>
          <t>$4,250</t>
        </is>
      </c>
      <c r="D56" s="111" t="inlineStr">
        <is>
          <t>$51,000</t>
        </is>
      </c>
      <c r="E56" s="41" t="inlineStr">
        <is>
          <t>Departing</t>
        </is>
      </c>
      <c r="F56" s="112" t="inlineStr">
        <is>
          <t>3 months</t>
        </is>
      </c>
      <c r="G56" s="113" t="inlineStr"/>
      <c r="H56" s="113" t="inlineStr"/>
      <c r="I56" s="114" t="inlineStr">
        <is>
          <t>Final 6/16/2026</t>
        </is>
      </c>
    </row>
    <row r="57" ht="17" customHeight="1">
      <c r="A57" s="108" t="inlineStr">
        <is>
          <t>Westlake Dermatology</t>
        </is>
      </c>
      <c r="B57" s="109" t="inlineStr">
        <is>
          <t>Lindsey</t>
        </is>
      </c>
      <c r="C57" s="110" t="inlineStr">
        <is>
          <t>$7,500</t>
        </is>
      </c>
      <c r="D57" s="111" t="inlineStr">
        <is>
          <t>$90,000</t>
        </is>
      </c>
      <c r="E57" s="41" t="inlineStr">
        <is>
          <t>Departing</t>
        </is>
      </c>
      <c r="F57" s="112" t="inlineStr">
        <is>
          <t>MTM</t>
        </is>
      </c>
      <c r="G57" s="113" t="inlineStr"/>
      <c r="H57" s="113" t="inlineStr"/>
      <c r="I57" s="114" t="inlineStr">
        <is>
          <t>Final 6/18/2026</t>
        </is>
      </c>
    </row>
    <row r="58" ht="17" customHeight="1">
      <c r="A58" s="108" t="inlineStr">
        <is>
          <t>Osier</t>
        </is>
      </c>
      <c r="B58" s="109" t="inlineStr">
        <is>
          <t>Lindsey</t>
        </is>
      </c>
      <c r="C58" s="110" t="inlineStr">
        <is>
          <t>$4,275</t>
        </is>
      </c>
      <c r="D58" s="111" t="inlineStr">
        <is>
          <t>$51,300</t>
        </is>
      </c>
      <c r="E58" s="41" t="inlineStr">
        <is>
          <t>Departing</t>
        </is>
      </c>
      <c r="F58" s="112" t="inlineStr">
        <is>
          <t>6 months</t>
        </is>
      </c>
      <c r="G58" s="113" t="inlineStr"/>
      <c r="H58" s="113" t="inlineStr"/>
      <c r="I58" s="114" t="inlineStr">
        <is>
          <t>Final 6/11/2026</t>
        </is>
      </c>
    </row>
    <row r="59" ht="17" customHeight="1">
      <c r="A59" s="76" t="inlineStr">
        <is>
          <t>Purr Studio / Madison Woolley</t>
        </is>
      </c>
      <c r="B59" s="52" t="inlineStr">
        <is>
          <t>Lindsey</t>
        </is>
      </c>
      <c r="C59" s="115" t="inlineStr">
        <is>
          <t>$8,000</t>
        </is>
      </c>
      <c r="D59" s="50" t="inlineStr">
        <is>
          <t>$96,000</t>
        </is>
      </c>
      <c r="E59" s="116" t="inlineStr">
        <is>
          <t>Departed</t>
        </is>
      </c>
      <c r="F59" s="117" t="inlineStr">
        <is>
          <t>6 then MTM</t>
        </is>
      </c>
      <c r="G59" s="113" t="inlineStr"/>
      <c r="H59" s="113" t="inlineStr"/>
      <c r="I59" s="74" t="inlineStr">
        <is>
          <t>Departed 5/28</t>
        </is>
      </c>
    </row>
  </sheetData>
  <mergeCells count="7">
    <mergeCell ref="A7:I7"/>
    <mergeCell ref="A2:I2"/>
    <mergeCell ref="A51:I51"/>
    <mergeCell ref="A1:I1"/>
    <mergeCell ref="A3:I3"/>
    <mergeCell ref="A4:I4"/>
    <mergeCell ref="A38:I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9050"/>
    <outlinePr summaryBelow="1" summaryRight="1"/>
    <pageSetUpPr/>
  </sheetPr>
  <dimension ref="A1:J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40" customHeight="1">
      <c r="A1" s="118" t="inlineStr">
        <is>
          <t xml:space="preserve">  🎭 Entertainment Pod</t>
        </is>
      </c>
    </row>
    <row r="2" ht="18" customHeight="1">
      <c r="A2" s="119" t="inlineStr">
        <is>
          <t xml:space="preserve">  Pod Lead: Julia Matina  ·  6 active clients  ·  $31,000/mo revenue  ·  61.5% margin  ·  Jun 3, 2026</t>
        </is>
      </c>
    </row>
    <row r="3" ht="6" customHeight="1">
      <c r="A3" s="120" t="inlineStr"/>
    </row>
    <row r="4" ht="4" customHeight="1">
      <c r="A4" s="22" t="inlineStr"/>
      <c r="C4" s="26" t="inlineStr"/>
      <c r="E4" s="23" t="inlineStr"/>
      <c r="G4" s="23" t="inlineStr"/>
    </row>
    <row r="5" ht="14" customHeight="1">
      <c r="A5" s="121" t="inlineStr">
        <is>
          <t>POD REVENUE</t>
        </is>
      </c>
      <c r="C5" s="28" t="inlineStr">
        <is>
          <t>POD PAYROLL</t>
        </is>
      </c>
      <c r="E5" s="28" t="inlineStr">
        <is>
          <t>GROSS PROFIT</t>
        </is>
      </c>
      <c r="G5" s="28" t="inlineStr">
        <is>
          <t>GROSS MARGIN</t>
        </is>
      </c>
    </row>
    <row r="6" ht="26" customHeight="1">
      <c r="A6" s="122" t="inlineStr">
        <is>
          <t>$31,000</t>
        </is>
      </c>
      <c r="C6" s="123" t="inlineStr">
        <is>
          <t>$11,927</t>
        </is>
      </c>
      <c r="E6" s="124" t="inlineStr">
        <is>
          <t>$19,073</t>
        </is>
      </c>
      <c r="G6" s="124" t="inlineStr">
        <is>
          <t>61.5%</t>
        </is>
      </c>
    </row>
    <row r="7" ht="15" customHeight="1">
      <c r="A7" s="125" t="inlineStr">
        <is>
          <t>Monthly retainers (active)</t>
        </is>
      </c>
      <c r="C7" s="35" t="inlineStr">
        <is>
          <t>Team cost allocated to pod</t>
        </is>
      </c>
      <c r="E7" s="35" t="inlineStr">
        <is>
          <t>Revenue minus payroll</t>
        </is>
      </c>
      <c r="G7" s="35" t="inlineStr">
        <is>
          <t>Before shared Opex</t>
        </is>
      </c>
    </row>
    <row r="8" ht="6" customHeight="1">
      <c r="A8" s="126" t="inlineStr"/>
      <c r="C8" s="37" t="inlineStr"/>
      <c r="E8" s="37" t="inlineStr"/>
      <c r="G8" s="37" t="inlineStr"/>
    </row>
    <row r="9" ht="8" customHeight="1"/>
    <row r="10" ht="20" customHeight="1">
      <c r="A10" s="127" t="inlineStr">
        <is>
          <t xml:space="preserve">  CLIENT ROSTER</t>
        </is>
      </c>
    </row>
    <row r="11" ht="18" customHeight="1">
      <c r="A11" s="39" t="inlineStr">
        <is>
          <t>Client</t>
        </is>
      </c>
      <c r="B11" s="40" t="inlineStr">
        <is>
          <t>Retainer/Mo</t>
        </is>
      </c>
      <c r="C11" s="40" t="inlineStr">
        <is>
          <t>Annual Value</t>
        </is>
      </c>
      <c r="D11" s="39" t="inlineStr">
        <is>
          <t>Status</t>
        </is>
      </c>
      <c r="E11" s="39" t="inlineStr">
        <is>
          <t>Contract</t>
        </is>
      </c>
      <c r="F11" s="39" t="inlineStr">
        <is>
          <t>Commission To</t>
        </is>
      </c>
      <c r="G11" s="40" t="inlineStr">
        <is>
          <t>Comm/Mo</t>
        </is>
      </c>
      <c r="H11" s="39" t="inlineStr"/>
      <c r="I11" s="39" t="inlineStr"/>
      <c r="J11" s="39" t="inlineStr">
        <is>
          <t>Notes</t>
        </is>
      </c>
    </row>
    <row r="12" ht="18" customHeight="1">
      <c r="A12" s="64" t="inlineStr">
        <is>
          <t>Spencer Pratt</t>
        </is>
      </c>
      <c r="B12" s="43" t="inlineStr">
        <is>
          <t>$7,500</t>
        </is>
      </c>
      <c r="C12" s="44" t="inlineStr">
        <is>
          <t>$90,000</t>
        </is>
      </c>
      <c r="D12" s="71" t="inlineStr">
        <is>
          <t>Active</t>
        </is>
      </c>
      <c r="E12" s="86" t="inlineStr">
        <is>
          <t>MTM</t>
        </is>
      </c>
      <c r="F12" s="87" t="inlineStr">
        <is>
          <t>—</t>
        </is>
      </c>
      <c r="G12" s="44" t="inlineStr">
        <is>
          <t>—</t>
        </is>
      </c>
      <c r="H12" s="113" t="inlineStr"/>
      <c r="I12" s="113" t="inlineStr"/>
      <c r="J12" s="88" t="inlineStr">
        <is>
          <t>LA Mayoral Campaign</t>
        </is>
      </c>
    </row>
    <row r="13" ht="18" customHeight="1">
      <c r="A13" s="76" t="inlineStr">
        <is>
          <t>Kim Gravel</t>
        </is>
      </c>
      <c r="B13" s="49" t="inlineStr">
        <is>
          <t>$5,000</t>
        </is>
      </c>
      <c r="C13" s="50" t="inlineStr">
        <is>
          <t>$60,000</t>
        </is>
      </c>
      <c r="D13" s="71" t="inlineStr">
        <is>
          <t>Active</t>
        </is>
      </c>
      <c r="E13" s="90" t="inlineStr">
        <is>
          <t>MTM</t>
        </is>
      </c>
      <c r="F13" s="91" t="inlineStr">
        <is>
          <t>Vic</t>
        </is>
      </c>
      <c r="G13" s="92" t="inlineStr">
        <is>
          <t>$1,000</t>
        </is>
      </c>
      <c r="H13" s="113" t="inlineStr"/>
      <c r="I13" s="113" t="inlineStr"/>
      <c r="J13" s="93" t="inlineStr"/>
    </row>
    <row r="14" ht="18" customHeight="1">
      <c r="A14" s="64" t="inlineStr">
        <is>
          <t>Gia Giudice</t>
        </is>
      </c>
      <c r="B14" s="43" t="inlineStr">
        <is>
          <t>$5,000</t>
        </is>
      </c>
      <c r="C14" s="44" t="inlineStr">
        <is>
          <t>$60,000</t>
        </is>
      </c>
      <c r="D14" s="71" t="inlineStr">
        <is>
          <t>Active</t>
        </is>
      </c>
      <c r="E14" s="86" t="inlineStr">
        <is>
          <t>3 then MTM</t>
        </is>
      </c>
      <c r="F14" s="87" t="inlineStr">
        <is>
          <t>—</t>
        </is>
      </c>
      <c r="G14" s="44" t="inlineStr">
        <is>
          <t>—</t>
        </is>
      </c>
      <c r="H14" s="113" t="inlineStr"/>
      <c r="I14" s="113" t="inlineStr"/>
      <c r="J14" s="88" t="inlineStr">
        <is>
          <t>x Lucky Honey Espresso Edit</t>
        </is>
      </c>
    </row>
    <row r="15" ht="18" customHeight="1">
      <c r="A15" s="76" t="inlineStr">
        <is>
          <t>QUICI Media Holdings (Cara)</t>
        </is>
      </c>
      <c r="B15" s="49" t="inlineStr">
        <is>
          <t>$4,500</t>
        </is>
      </c>
      <c r="C15" s="50" t="inlineStr">
        <is>
          <t>$54,000</t>
        </is>
      </c>
      <c r="D15" s="71" t="inlineStr">
        <is>
          <t>Active</t>
        </is>
      </c>
      <c r="E15" s="90" t="inlineStr">
        <is>
          <t>3 months</t>
        </is>
      </c>
      <c r="F15" s="94" t="inlineStr">
        <is>
          <t>—</t>
        </is>
      </c>
      <c r="G15" s="50" t="inlineStr">
        <is>
          <t>—</t>
        </is>
      </c>
      <c r="H15" s="113" t="inlineStr"/>
      <c r="I15" s="113" t="inlineStr"/>
      <c r="J15" s="93" t="inlineStr"/>
    </row>
    <row r="16" ht="18" customHeight="1">
      <c r="A16" s="64" t="inlineStr">
        <is>
          <t>Spill Sesh (Kristi Cook)</t>
        </is>
      </c>
      <c r="B16" s="43" t="inlineStr">
        <is>
          <t>$4,500</t>
        </is>
      </c>
      <c r="C16" s="44" t="inlineStr">
        <is>
          <t>$54,000</t>
        </is>
      </c>
      <c r="D16" s="71" t="inlineStr">
        <is>
          <t>Active</t>
        </is>
      </c>
      <c r="E16" s="86" t="inlineStr">
        <is>
          <t>MTM</t>
        </is>
      </c>
      <c r="F16" s="95" t="inlineStr">
        <is>
          <t>Julia</t>
        </is>
      </c>
      <c r="G16" s="96" t="inlineStr">
        <is>
          <t>$500</t>
        </is>
      </c>
      <c r="H16" s="113" t="inlineStr"/>
      <c r="I16" s="113" t="inlineStr"/>
      <c r="J16" s="88" t="inlineStr"/>
    </row>
    <row r="17" ht="18" customHeight="1">
      <c r="A17" s="76" t="inlineStr">
        <is>
          <t>Kat Velasco</t>
        </is>
      </c>
      <c r="B17" s="49" t="inlineStr">
        <is>
          <t>$4,500</t>
        </is>
      </c>
      <c r="C17" s="50" t="inlineStr">
        <is>
          <t>$54,000</t>
        </is>
      </c>
      <c r="D17" s="71" t="inlineStr">
        <is>
          <t>Active</t>
        </is>
      </c>
      <c r="E17" s="90" t="inlineStr">
        <is>
          <t>3 months</t>
        </is>
      </c>
      <c r="F17" s="91" t="inlineStr">
        <is>
          <t>Lexi Pulling</t>
        </is>
      </c>
      <c r="G17" s="92" t="inlineStr">
        <is>
          <t>$500</t>
        </is>
      </c>
      <c r="H17" s="113" t="inlineStr"/>
      <c r="I17" s="113" t="inlineStr"/>
      <c r="J17" s="93" t="inlineStr"/>
    </row>
    <row r="19" ht="20" customHeight="1">
      <c r="A19" s="127" t="inlineStr">
        <is>
          <t xml:space="preserve">  TEAM ALLOCATION</t>
        </is>
      </c>
    </row>
    <row r="20" ht="18" customHeight="1">
      <c r="A20" s="39" t="inlineStr">
        <is>
          <t>Team Member</t>
        </is>
      </c>
      <c r="B20" s="39" t="inlineStr">
        <is>
          <t>Title</t>
        </is>
      </c>
      <c r="C20" s="40" t="inlineStr">
        <is>
          <t>Annual Salary</t>
        </is>
      </c>
      <c r="D20" s="40" t="inlineStr">
        <is>
          <t>Cost/Month</t>
        </is>
      </c>
      <c r="E20" s="40" t="inlineStr">
        <is>
          <t>% to Pod</t>
        </is>
      </c>
      <c r="F20" s="40" t="inlineStr">
        <is>
          <t>Pod Cost</t>
        </is>
      </c>
      <c r="G20" s="39" t="inlineStr"/>
      <c r="H20" s="39" t="inlineStr"/>
      <c r="I20" s="39" t="inlineStr"/>
      <c r="J20" s="39" t="inlineStr">
        <is>
          <t>Notes</t>
        </is>
      </c>
    </row>
    <row r="21" ht="18" customHeight="1">
      <c r="A21" s="64" t="inlineStr">
        <is>
          <t>Julia Matina</t>
        </is>
      </c>
      <c r="B21" s="11" t="inlineStr">
        <is>
          <t>Sr. Account Executive</t>
        </is>
      </c>
      <c r="C21" s="44" t="inlineStr">
        <is>
          <t>$90,000</t>
        </is>
      </c>
      <c r="D21" s="44" t="inlineStr">
        <is>
          <t>$7,500</t>
        </is>
      </c>
      <c r="E21" s="80" t="inlineStr">
        <is>
          <t>100%</t>
        </is>
      </c>
      <c r="F21" s="43" t="inlineStr">
        <is>
          <t>$7,500</t>
        </is>
      </c>
      <c r="G21" s="113" t="inlineStr"/>
      <c r="H21" s="113" t="inlineStr"/>
      <c r="I21" s="113" t="inlineStr"/>
      <c r="J21" s="69" t="inlineStr">
        <is>
          <t>100% Entertainment</t>
        </is>
      </c>
    </row>
    <row r="22" ht="18" customHeight="1">
      <c r="A22" s="76" t="inlineStr">
        <is>
          <t>Sophie Strasser</t>
        </is>
      </c>
      <c r="B22" s="52" t="inlineStr">
        <is>
          <t>Account Coordinator</t>
        </is>
      </c>
      <c r="C22" s="50" t="inlineStr">
        <is>
          <t>$52,000</t>
        </is>
      </c>
      <c r="D22" s="50" t="inlineStr">
        <is>
          <t>$4,333</t>
        </is>
      </c>
      <c r="E22" s="81" t="inlineStr">
        <is>
          <t>50%</t>
        </is>
      </c>
      <c r="F22" s="49" t="inlineStr">
        <is>
          <t>$2,167</t>
        </is>
      </c>
      <c r="G22" s="113" t="inlineStr"/>
      <c r="H22" s="113" t="inlineStr"/>
      <c r="I22" s="113" t="inlineStr"/>
      <c r="J22" s="74" t="inlineStr">
        <is>
          <t>50% Ent / 50% Creator</t>
        </is>
      </c>
    </row>
    <row r="23" ht="18" customHeight="1">
      <c r="A23" s="64" t="inlineStr">
        <is>
          <t>Caitlyn Fruehauf</t>
        </is>
      </c>
      <c r="B23" s="11" t="inlineStr">
        <is>
          <t>Events Manager</t>
        </is>
      </c>
      <c r="C23" s="44" t="inlineStr">
        <is>
          <t>$72,072</t>
        </is>
      </c>
      <c r="D23" s="44" t="inlineStr">
        <is>
          <t>$6,006</t>
        </is>
      </c>
      <c r="E23" s="80" t="inlineStr">
        <is>
          <t>25%</t>
        </is>
      </c>
      <c r="F23" s="43" t="inlineStr">
        <is>
          <t>$1,502</t>
        </is>
      </c>
      <c r="G23" s="113" t="inlineStr"/>
      <c r="H23" s="113" t="inlineStr"/>
      <c r="I23" s="113" t="inlineStr"/>
      <c r="J23" s="69" t="inlineStr">
        <is>
          <t>25% shared across 4 pods</t>
        </is>
      </c>
    </row>
    <row r="24" ht="18" customHeight="1">
      <c r="A24" s="76" t="inlineStr">
        <is>
          <t>Valeria Flores</t>
        </is>
      </c>
      <c r="B24" s="52" t="inlineStr">
        <is>
          <t>Events &amp; Social Media</t>
        </is>
      </c>
      <c r="C24" s="50" t="inlineStr">
        <is>
          <t>$52,000</t>
        </is>
      </c>
      <c r="D24" s="50" t="inlineStr">
        <is>
          <t>$4,333</t>
        </is>
      </c>
      <c r="E24" s="81" t="inlineStr">
        <is>
          <t>18%</t>
        </is>
      </c>
      <c r="F24" s="49" t="inlineStr">
        <is>
          <t>$758</t>
        </is>
      </c>
      <c r="G24" s="113" t="inlineStr"/>
      <c r="H24" s="113" t="inlineStr"/>
      <c r="I24" s="113" t="inlineStr"/>
      <c r="J24" s="74" t="inlineStr">
        <is>
          <t>17.5% shared across 4 pods</t>
        </is>
      </c>
    </row>
    <row r="25" ht="20" customHeight="1">
      <c r="A25" s="56" t="inlineStr">
        <is>
          <t>TOTAL POD COST</t>
        </is>
      </c>
      <c r="B25" s="36" t="inlineStr"/>
      <c r="C25" s="36" t="inlineStr"/>
      <c r="D25" s="36" t="inlineStr"/>
      <c r="E25" s="36" t="inlineStr"/>
      <c r="F25" s="128" t="inlineStr">
        <is>
          <t>$11,927</t>
        </is>
      </c>
    </row>
    <row r="27" ht="20" customHeight="1">
      <c r="A27" s="127" t="inlineStr">
        <is>
          <t xml:space="preserve">  POD P&amp;L SUMMARY</t>
        </is>
      </c>
    </row>
    <row r="28" ht="18" customHeight="1">
      <c r="A28" s="64" t="inlineStr">
        <is>
          <t>Pod Revenue</t>
        </is>
      </c>
      <c r="B28" s="65" t="inlineStr">
        <is>
          <t>$31,000</t>
        </is>
      </c>
    </row>
    <row r="29" ht="18" customHeight="1">
      <c r="A29" s="9" t="inlineStr">
        <is>
          <t>Team Cost</t>
        </is>
      </c>
      <c r="B29" s="68" t="inlineStr">
        <is>
          <t>$11,927</t>
        </is>
      </c>
    </row>
    <row r="30" ht="18" customHeight="1">
      <c r="A30" s="64" t="inlineStr">
        <is>
          <t>Gross Profit</t>
        </is>
      </c>
      <c r="B30" s="78" t="inlineStr">
        <is>
          <t>$19,073</t>
        </is>
      </c>
    </row>
    <row r="31" ht="18" customHeight="1">
      <c r="A31" s="76" t="inlineStr">
        <is>
          <t>Gross Margin</t>
        </is>
      </c>
      <c r="B31" s="79" t="inlineStr">
        <is>
          <t>61.5%</t>
        </is>
      </c>
    </row>
    <row r="32" ht="18" customHeight="1">
      <c r="A32" s="7" t="inlineStr">
        <is>
          <t>Cost as % Rev</t>
        </is>
      </c>
      <c r="B32" s="73" t="inlineStr">
        <is>
          <t>38.5%</t>
        </is>
      </c>
    </row>
  </sheetData>
  <mergeCells count="31">
    <mergeCell ref="C6:D6"/>
    <mergeCell ref="C5:D5"/>
    <mergeCell ref="E5:F5"/>
    <mergeCell ref="B31:F31"/>
    <mergeCell ref="G8:H8"/>
    <mergeCell ref="A10:J10"/>
    <mergeCell ref="E8:F8"/>
    <mergeCell ref="A6:B6"/>
    <mergeCell ref="A19:J19"/>
    <mergeCell ref="C4:D4"/>
    <mergeCell ref="E4:F4"/>
    <mergeCell ref="A7:B7"/>
    <mergeCell ref="G7:H7"/>
    <mergeCell ref="G6:H6"/>
    <mergeCell ref="A1:J1"/>
    <mergeCell ref="B29:F29"/>
    <mergeCell ref="E6:F6"/>
    <mergeCell ref="B28:F28"/>
    <mergeCell ref="A5:B5"/>
    <mergeCell ref="G5:H5"/>
    <mergeCell ref="A8:B8"/>
    <mergeCell ref="C8:D8"/>
    <mergeCell ref="A4:B4"/>
    <mergeCell ref="G4:H4"/>
    <mergeCell ref="B30:F30"/>
    <mergeCell ref="C7:D7"/>
    <mergeCell ref="E7:F7"/>
    <mergeCell ref="A27:J27"/>
    <mergeCell ref="A3:J3"/>
    <mergeCell ref="A2:J2"/>
    <mergeCell ref="B32:F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2185B"/>
    <outlinePr summaryBelow="1" summaryRight="1"/>
    <pageSetUpPr/>
  </sheetPr>
  <dimension ref="A1:J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40" customHeight="1">
      <c r="A1" s="129" t="inlineStr">
        <is>
          <t xml:space="preserve">  🩷 Beauty &amp; Fashion Pod</t>
        </is>
      </c>
    </row>
    <row r="2" ht="18" customHeight="1">
      <c r="A2" s="130" t="inlineStr">
        <is>
          <t xml:space="preserve">  Pod Lead: Alexis Papadopoulos  ·  5 active clients  ·  $23,000/mo revenue  ·  30.7% margin  ·  Jun 3, 2026</t>
        </is>
      </c>
    </row>
    <row r="3" ht="6" customHeight="1">
      <c r="A3" s="131" t="inlineStr"/>
    </row>
    <row r="4" ht="4" customHeight="1">
      <c r="A4" s="22" t="inlineStr"/>
      <c r="C4" s="26" t="inlineStr"/>
      <c r="E4" s="23" t="inlineStr"/>
      <c r="G4" s="132" t="inlineStr"/>
    </row>
    <row r="5" ht="14" customHeight="1">
      <c r="A5" s="133" t="inlineStr">
        <is>
          <t>POD REVENUE</t>
        </is>
      </c>
      <c r="C5" s="28" t="inlineStr">
        <is>
          <t>POD PAYROLL</t>
        </is>
      </c>
      <c r="E5" s="28" t="inlineStr">
        <is>
          <t>GROSS PROFIT</t>
        </is>
      </c>
      <c r="G5" s="28" t="inlineStr">
        <is>
          <t>GROSS MARGIN</t>
        </is>
      </c>
    </row>
    <row r="6" ht="26" customHeight="1">
      <c r="A6" s="134" t="inlineStr">
        <is>
          <t>$23,000</t>
        </is>
      </c>
      <c r="C6" s="123" t="inlineStr">
        <is>
          <t>$15,947</t>
        </is>
      </c>
      <c r="E6" s="124" t="inlineStr">
        <is>
          <t>$7,053</t>
        </is>
      </c>
      <c r="G6" s="135" t="inlineStr">
        <is>
          <t>30.7%</t>
        </is>
      </c>
    </row>
    <row r="7" ht="15" customHeight="1">
      <c r="A7" s="136" t="inlineStr">
        <is>
          <t>Monthly retainers (active)</t>
        </is>
      </c>
      <c r="C7" s="35" t="inlineStr">
        <is>
          <t>Team cost allocated to pod</t>
        </is>
      </c>
      <c r="E7" s="35" t="inlineStr">
        <is>
          <t>Revenue minus payroll</t>
        </is>
      </c>
      <c r="G7" s="35" t="inlineStr">
        <is>
          <t>Before shared Opex</t>
        </is>
      </c>
    </row>
    <row r="8" ht="6" customHeight="1">
      <c r="A8" s="137" t="inlineStr"/>
      <c r="C8" s="37" t="inlineStr"/>
      <c r="E8" s="37" t="inlineStr"/>
      <c r="G8" s="37" t="inlineStr"/>
    </row>
    <row r="9" ht="8" customHeight="1"/>
    <row r="10" ht="20" customHeight="1">
      <c r="A10" s="138" t="inlineStr">
        <is>
          <t xml:space="preserve">  CLIENT ROSTER</t>
        </is>
      </c>
    </row>
    <row r="11" ht="18" customHeight="1">
      <c r="A11" s="39" t="inlineStr">
        <is>
          <t>Client</t>
        </is>
      </c>
      <c r="B11" s="40" t="inlineStr">
        <is>
          <t>Retainer/Mo</t>
        </is>
      </c>
      <c r="C11" s="40" t="inlineStr">
        <is>
          <t>Annual Value</t>
        </is>
      </c>
      <c r="D11" s="39" t="inlineStr">
        <is>
          <t>Status</t>
        </is>
      </c>
      <c r="E11" s="39" t="inlineStr">
        <is>
          <t>Contract</t>
        </is>
      </c>
      <c r="F11" s="39" t="inlineStr">
        <is>
          <t>Commission To</t>
        </is>
      </c>
      <c r="G11" s="40" t="inlineStr">
        <is>
          <t>Comm/Mo</t>
        </is>
      </c>
      <c r="H11" s="39" t="inlineStr"/>
      <c r="I11" s="39" t="inlineStr"/>
      <c r="J11" s="39" t="inlineStr">
        <is>
          <t>Notes</t>
        </is>
      </c>
    </row>
    <row r="12" ht="18" customHeight="1">
      <c r="A12" s="64" t="inlineStr">
        <is>
          <t>Terry Dubrow</t>
        </is>
      </c>
      <c r="B12" s="43" t="inlineStr">
        <is>
          <t>$5,000</t>
        </is>
      </c>
      <c r="C12" s="44" t="inlineStr">
        <is>
          <t>$60,000</t>
        </is>
      </c>
      <c r="D12" s="71" t="inlineStr">
        <is>
          <t>Active</t>
        </is>
      </c>
      <c r="E12" s="86" t="inlineStr">
        <is>
          <t>2 months</t>
        </is>
      </c>
      <c r="F12" s="95" t="inlineStr">
        <is>
          <t>Vic</t>
        </is>
      </c>
      <c r="G12" s="96" t="inlineStr">
        <is>
          <t>$1,000</t>
        </is>
      </c>
      <c r="H12" s="113" t="inlineStr"/>
      <c r="I12" s="113" t="inlineStr"/>
      <c r="J12" s="88" t="inlineStr"/>
    </row>
    <row r="13" ht="18" customHeight="1">
      <c r="A13" s="76" t="inlineStr">
        <is>
          <t>Amanda Frances</t>
        </is>
      </c>
      <c r="B13" s="49" t="inlineStr">
        <is>
          <t>$5,000</t>
        </is>
      </c>
      <c r="C13" s="50" t="inlineStr">
        <is>
          <t>$60,000</t>
        </is>
      </c>
      <c r="D13" s="71" t="inlineStr">
        <is>
          <t>Active</t>
        </is>
      </c>
      <c r="E13" s="90" t="inlineStr">
        <is>
          <t>6 then MTM</t>
        </is>
      </c>
      <c r="F13" s="94" t="inlineStr">
        <is>
          <t>—</t>
        </is>
      </c>
      <c r="G13" s="50" t="inlineStr">
        <is>
          <t>—</t>
        </is>
      </c>
      <c r="H13" s="113" t="inlineStr"/>
      <c r="I13" s="113" t="inlineStr"/>
      <c r="J13" s="93" t="inlineStr"/>
    </row>
    <row r="14" ht="18" customHeight="1">
      <c r="A14" s="64" t="inlineStr">
        <is>
          <t>Miranda McKeon</t>
        </is>
      </c>
      <c r="B14" s="43" t="inlineStr">
        <is>
          <t>$4,000</t>
        </is>
      </c>
      <c r="C14" s="44" t="inlineStr">
        <is>
          <t>$48,000</t>
        </is>
      </c>
      <c r="D14" s="71" t="inlineStr">
        <is>
          <t>Active</t>
        </is>
      </c>
      <c r="E14" s="86" t="inlineStr">
        <is>
          <t>6 then MTM</t>
        </is>
      </c>
      <c r="F14" s="87" t="inlineStr">
        <is>
          <t>—</t>
        </is>
      </c>
      <c r="G14" s="44" t="inlineStr">
        <is>
          <t>—</t>
        </is>
      </c>
      <c r="H14" s="113" t="inlineStr"/>
      <c r="I14" s="113" t="inlineStr"/>
      <c r="J14" s="88" t="inlineStr">
        <is>
          <t>Post-chemo hair + Women's Health Month</t>
        </is>
      </c>
    </row>
    <row r="15" ht="18" customHeight="1">
      <c r="A15" s="76" t="inlineStr">
        <is>
          <t>Melinda Melrose</t>
        </is>
      </c>
      <c r="B15" s="49" t="inlineStr">
        <is>
          <t>$4,500</t>
        </is>
      </c>
      <c r="C15" s="50" t="inlineStr">
        <is>
          <t>$54,000</t>
        </is>
      </c>
      <c r="D15" s="71" t="inlineStr">
        <is>
          <t>Active</t>
        </is>
      </c>
      <c r="E15" s="90" t="inlineStr">
        <is>
          <t>3 months</t>
        </is>
      </c>
      <c r="F15" s="91" t="inlineStr">
        <is>
          <t>Anita</t>
        </is>
      </c>
      <c r="G15" s="92" t="inlineStr">
        <is>
          <t>$500</t>
        </is>
      </c>
      <c r="H15" s="113" t="inlineStr"/>
      <c r="I15" s="113" t="inlineStr"/>
      <c r="J15" s="93" t="inlineStr">
        <is>
          <t>D&amp;G Global Makeup Expert 2026</t>
        </is>
      </c>
    </row>
    <row r="16" ht="18" customHeight="1">
      <c r="A16" s="64" t="inlineStr">
        <is>
          <t>Allie Eklund</t>
        </is>
      </c>
      <c r="B16" s="43" t="inlineStr">
        <is>
          <t>$4,500</t>
        </is>
      </c>
      <c r="C16" s="44" t="inlineStr">
        <is>
          <t>$54,000</t>
        </is>
      </c>
      <c r="D16" s="71" t="inlineStr">
        <is>
          <t>Active</t>
        </is>
      </c>
      <c r="E16" s="86" t="inlineStr">
        <is>
          <t>3 then MTM</t>
        </is>
      </c>
      <c r="F16" s="87" t="inlineStr">
        <is>
          <t>—</t>
        </is>
      </c>
      <c r="G16" s="44" t="inlineStr">
        <is>
          <t>—</t>
        </is>
      </c>
      <c r="H16" s="113" t="inlineStr"/>
      <c r="I16" s="113" t="inlineStr"/>
      <c r="J16" s="88" t="inlineStr"/>
    </row>
    <row r="18" ht="20" customHeight="1">
      <c r="A18" s="107" t="inlineStr">
        <is>
          <t xml:space="preserve">  DEPARTING</t>
        </is>
      </c>
    </row>
    <row r="19" ht="18" customHeight="1">
      <c r="A19" s="108" t="inlineStr">
        <is>
          <t>Susan Holmes McKagan</t>
        </is>
      </c>
      <c r="B19" s="139" t="inlineStr">
        <is>
          <t>$5,000</t>
        </is>
      </c>
      <c r="C19" s="111" t="inlineStr">
        <is>
          <t>$60,000</t>
        </is>
      </c>
      <c r="D19" s="41" t="inlineStr">
        <is>
          <t>Departing</t>
        </is>
      </c>
      <c r="E19" s="112" t="inlineStr">
        <is>
          <t>3 then MTM</t>
        </is>
      </c>
      <c r="F19" s="113" t="inlineStr"/>
      <c r="G19" s="113" t="inlineStr"/>
      <c r="H19" s="113" t="inlineStr"/>
      <c r="I19" s="113" t="inlineStr"/>
      <c r="J19" s="114" t="inlineStr">
        <is>
          <t>Pausing 7/1 · UpDating $5K</t>
        </is>
      </c>
    </row>
    <row r="20" ht="18" customHeight="1">
      <c r="A20" s="108" t="inlineStr">
        <is>
          <t>Donni Davy</t>
        </is>
      </c>
      <c r="B20" s="139" t="inlineStr">
        <is>
          <t>$5,000</t>
        </is>
      </c>
      <c r="C20" s="111" t="inlineStr">
        <is>
          <t>$60,000</t>
        </is>
      </c>
      <c r="D20" s="41" t="inlineStr">
        <is>
          <t>Departing</t>
        </is>
      </c>
      <c r="E20" s="112" t="inlineStr">
        <is>
          <t>A20 + ext</t>
        </is>
      </c>
      <c r="F20" s="113" t="inlineStr"/>
      <c r="G20" s="113" t="inlineStr"/>
      <c r="H20" s="113" t="inlineStr"/>
      <c r="I20" s="113" t="inlineStr"/>
      <c r="J20" s="114" t="inlineStr">
        <is>
          <t>Final 6/12/2026</t>
        </is>
      </c>
    </row>
    <row r="22" ht="20" customHeight="1">
      <c r="A22" s="138" t="inlineStr">
        <is>
          <t xml:space="preserve">  TEAM ALLOCATION</t>
        </is>
      </c>
    </row>
    <row r="23" ht="18" customHeight="1">
      <c r="A23" s="39" t="inlineStr">
        <is>
          <t>Team Member</t>
        </is>
      </c>
      <c r="B23" s="39" t="inlineStr">
        <is>
          <t>Title</t>
        </is>
      </c>
      <c r="C23" s="40" t="inlineStr">
        <is>
          <t>Annual Salary</t>
        </is>
      </c>
      <c r="D23" s="40" t="inlineStr">
        <is>
          <t>Cost/Month</t>
        </is>
      </c>
      <c r="E23" s="40" t="inlineStr">
        <is>
          <t>% to Pod</t>
        </is>
      </c>
      <c r="F23" s="40" t="inlineStr">
        <is>
          <t>Pod Cost</t>
        </is>
      </c>
      <c r="G23" s="39" t="inlineStr"/>
      <c r="H23" s="39" t="inlineStr"/>
      <c r="I23" s="39" t="inlineStr"/>
      <c r="J23" s="39" t="inlineStr">
        <is>
          <t>Notes</t>
        </is>
      </c>
    </row>
    <row r="24" ht="18" customHeight="1">
      <c r="A24" s="64" t="inlineStr">
        <is>
          <t>Alexis Papadopoulos</t>
        </is>
      </c>
      <c r="B24" s="11" t="inlineStr">
        <is>
          <t>Sr. Account Executive</t>
        </is>
      </c>
      <c r="C24" s="44" t="inlineStr">
        <is>
          <t>$80,000</t>
        </is>
      </c>
      <c r="D24" s="44" t="inlineStr">
        <is>
          <t>$6,667</t>
        </is>
      </c>
      <c r="E24" s="80" t="inlineStr">
        <is>
          <t>100%</t>
        </is>
      </c>
      <c r="F24" s="43" t="inlineStr">
        <is>
          <t>$6,667</t>
        </is>
      </c>
      <c r="G24" s="113" t="inlineStr"/>
      <c r="H24" s="113" t="inlineStr"/>
      <c r="I24" s="113" t="inlineStr"/>
      <c r="J24" s="69" t="inlineStr">
        <is>
          <t>100% B&amp;F</t>
        </is>
      </c>
    </row>
    <row r="25" ht="18" customHeight="1">
      <c r="A25" s="76" t="inlineStr">
        <is>
          <t>Kendall Singer</t>
        </is>
      </c>
      <c r="B25" s="52" t="inlineStr">
        <is>
          <t>Jr. Account Executive</t>
        </is>
      </c>
      <c r="C25" s="50" t="inlineStr">
        <is>
          <t>$58,240</t>
        </is>
      </c>
      <c r="D25" s="50" t="inlineStr">
        <is>
          <t>$4,853</t>
        </is>
      </c>
      <c r="E25" s="81" t="inlineStr">
        <is>
          <t>100%</t>
        </is>
      </c>
      <c r="F25" s="49" t="inlineStr">
        <is>
          <t>$4,853</t>
        </is>
      </c>
      <c r="G25" s="113" t="inlineStr"/>
      <c r="H25" s="113" t="inlineStr"/>
      <c r="I25" s="113" t="inlineStr"/>
      <c r="J25" s="74" t="inlineStr">
        <is>
          <t>100% B&amp;F</t>
        </is>
      </c>
    </row>
    <row r="26" ht="18" customHeight="1">
      <c r="A26" s="64" t="inlineStr">
        <is>
          <t>Jackson Goldman</t>
        </is>
      </c>
      <c r="B26" s="11" t="inlineStr">
        <is>
          <t>Account Coordinator</t>
        </is>
      </c>
      <c r="C26" s="44" t="inlineStr">
        <is>
          <t>$52,000</t>
        </is>
      </c>
      <c r="D26" s="44" t="inlineStr">
        <is>
          <t>$4,333</t>
        </is>
      </c>
      <c r="E26" s="80" t="inlineStr">
        <is>
          <t>50%</t>
        </is>
      </c>
      <c r="F26" s="43" t="inlineStr">
        <is>
          <t>$2,167</t>
        </is>
      </c>
      <c r="G26" s="113" t="inlineStr"/>
      <c r="H26" s="113" t="inlineStr"/>
      <c r="I26" s="113" t="inlineStr"/>
      <c r="J26" s="69" t="inlineStr">
        <is>
          <t>50% B&amp;F / 50% A&amp;F</t>
        </is>
      </c>
    </row>
    <row r="27" ht="18" customHeight="1">
      <c r="A27" s="76" t="inlineStr">
        <is>
          <t>Caitlyn Fruehauf</t>
        </is>
      </c>
      <c r="B27" s="52" t="inlineStr">
        <is>
          <t>Events Manager</t>
        </is>
      </c>
      <c r="C27" s="50" t="inlineStr">
        <is>
          <t>$72,072</t>
        </is>
      </c>
      <c r="D27" s="50" t="inlineStr">
        <is>
          <t>$6,006</t>
        </is>
      </c>
      <c r="E27" s="81" t="inlineStr">
        <is>
          <t>25%</t>
        </is>
      </c>
      <c r="F27" s="49" t="inlineStr">
        <is>
          <t>$1,502</t>
        </is>
      </c>
      <c r="G27" s="113" t="inlineStr"/>
      <c r="H27" s="113" t="inlineStr"/>
      <c r="I27" s="113" t="inlineStr"/>
      <c r="J27" s="74" t="inlineStr">
        <is>
          <t>25% shared across 4 pods</t>
        </is>
      </c>
    </row>
    <row r="28" ht="18" customHeight="1">
      <c r="A28" s="64" t="inlineStr">
        <is>
          <t>Valeria Flores</t>
        </is>
      </c>
      <c r="B28" s="11" t="inlineStr">
        <is>
          <t>Events &amp; Social Media</t>
        </is>
      </c>
      <c r="C28" s="44" t="inlineStr">
        <is>
          <t>$52,000</t>
        </is>
      </c>
      <c r="D28" s="44" t="inlineStr">
        <is>
          <t>$4,333</t>
        </is>
      </c>
      <c r="E28" s="80" t="inlineStr">
        <is>
          <t>18%</t>
        </is>
      </c>
      <c r="F28" s="43" t="inlineStr">
        <is>
          <t>$758</t>
        </is>
      </c>
      <c r="G28" s="113" t="inlineStr"/>
      <c r="H28" s="113" t="inlineStr"/>
      <c r="I28" s="113" t="inlineStr"/>
      <c r="J28" s="69" t="inlineStr">
        <is>
          <t>17.5% shared across 4 pods</t>
        </is>
      </c>
    </row>
    <row r="29" ht="20" customHeight="1">
      <c r="A29" s="56" t="inlineStr">
        <is>
          <t>TOTAL POD COST</t>
        </is>
      </c>
      <c r="B29" s="36" t="inlineStr"/>
      <c r="C29" s="36" t="inlineStr"/>
      <c r="D29" s="36" t="inlineStr"/>
      <c r="E29" s="36" t="inlineStr"/>
      <c r="F29" s="128" t="inlineStr">
        <is>
          <t>$15,947</t>
        </is>
      </c>
    </row>
    <row r="31" ht="20" customHeight="1">
      <c r="A31" s="138" t="inlineStr">
        <is>
          <t xml:space="preserve">  POD P&amp;L SUMMARY</t>
        </is>
      </c>
    </row>
    <row r="32" ht="18" customHeight="1">
      <c r="A32" s="64" t="inlineStr">
        <is>
          <t>Pod Revenue</t>
        </is>
      </c>
      <c r="B32" s="65" t="inlineStr">
        <is>
          <t>$23,000</t>
        </is>
      </c>
    </row>
    <row r="33" ht="18" customHeight="1">
      <c r="A33" s="9" t="inlineStr">
        <is>
          <t>Team Cost</t>
        </is>
      </c>
      <c r="B33" s="68" t="inlineStr">
        <is>
          <t>$15,947</t>
        </is>
      </c>
    </row>
    <row r="34" ht="18" customHeight="1">
      <c r="A34" s="64" t="inlineStr">
        <is>
          <t>Gross Profit</t>
        </is>
      </c>
      <c r="B34" s="78" t="inlineStr">
        <is>
          <t>$7,053</t>
        </is>
      </c>
    </row>
    <row r="35" ht="18" customHeight="1">
      <c r="A35" s="76" t="inlineStr">
        <is>
          <t>Gross Margin</t>
        </is>
      </c>
      <c r="B35" s="140" t="inlineStr">
        <is>
          <t>30.7%</t>
        </is>
      </c>
    </row>
    <row r="36" ht="18" customHeight="1">
      <c r="A36" s="7" t="inlineStr">
        <is>
          <t>Cost as % Rev</t>
        </is>
      </c>
      <c r="B36" s="73" t="inlineStr">
        <is>
          <t>69.3%</t>
        </is>
      </c>
    </row>
  </sheetData>
  <mergeCells count="32">
    <mergeCell ref="C6:D6"/>
    <mergeCell ref="A22:J22"/>
    <mergeCell ref="C5:D5"/>
    <mergeCell ref="E5:F5"/>
    <mergeCell ref="G8:H8"/>
    <mergeCell ref="A10:J10"/>
    <mergeCell ref="E8:F8"/>
    <mergeCell ref="A6:B6"/>
    <mergeCell ref="C4:D4"/>
    <mergeCell ref="E4:F4"/>
    <mergeCell ref="A31:J31"/>
    <mergeCell ref="A7:B7"/>
    <mergeCell ref="G7:H7"/>
    <mergeCell ref="G6:H6"/>
    <mergeCell ref="A1:J1"/>
    <mergeCell ref="E6:F6"/>
    <mergeCell ref="B34:F34"/>
    <mergeCell ref="A5:B5"/>
    <mergeCell ref="G5:H5"/>
    <mergeCell ref="A8:B8"/>
    <mergeCell ref="C8:D8"/>
    <mergeCell ref="A4:B4"/>
    <mergeCell ref="G4:H4"/>
    <mergeCell ref="C7:D7"/>
    <mergeCell ref="E7:F7"/>
    <mergeCell ref="A18:J18"/>
    <mergeCell ref="B33:F33"/>
    <mergeCell ref="A3:J3"/>
    <mergeCell ref="B36:F36"/>
    <mergeCell ref="A2:J2"/>
    <mergeCell ref="B32:F32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1FA2"/>
    <outlinePr summaryBelow="1" summaryRight="1"/>
    <pageSetUpPr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40" customHeight="1">
      <c r="A1" s="141" t="inlineStr">
        <is>
          <t xml:space="preserve">  🟣 Creator Pod</t>
        </is>
      </c>
    </row>
    <row r="2" ht="18" customHeight="1">
      <c r="A2" s="142" t="inlineStr">
        <is>
          <t xml:space="preserve">  Pod Lead: Jenna Wilen  ·  8 active clients  ·  $23,000/mo revenue  ·  32.5% margin  ·  Jun 3, 2026</t>
        </is>
      </c>
    </row>
    <row r="3" ht="6" customHeight="1">
      <c r="A3" s="143" t="inlineStr"/>
    </row>
    <row r="4" ht="4" customHeight="1">
      <c r="A4" s="22" t="inlineStr"/>
      <c r="C4" s="26" t="inlineStr"/>
      <c r="E4" s="23" t="inlineStr"/>
      <c r="G4" s="132" t="inlineStr"/>
    </row>
    <row r="5" ht="14" customHeight="1">
      <c r="A5" s="144" t="inlineStr">
        <is>
          <t>POD REVENUE</t>
        </is>
      </c>
      <c r="C5" s="28" t="inlineStr">
        <is>
          <t>POD PAYROLL</t>
        </is>
      </c>
      <c r="E5" s="28" t="inlineStr">
        <is>
          <t>GROSS PROFIT</t>
        </is>
      </c>
      <c r="G5" s="28" t="inlineStr">
        <is>
          <t>GROSS MARGIN</t>
        </is>
      </c>
    </row>
    <row r="6" ht="26" customHeight="1">
      <c r="A6" s="145" t="inlineStr">
        <is>
          <t>$23,000</t>
        </is>
      </c>
      <c r="C6" s="123" t="inlineStr">
        <is>
          <t>$15,530</t>
        </is>
      </c>
      <c r="E6" s="124" t="inlineStr">
        <is>
          <t>$7,470</t>
        </is>
      </c>
      <c r="G6" s="135" t="inlineStr">
        <is>
          <t>32.5%</t>
        </is>
      </c>
    </row>
    <row r="7" ht="15" customHeight="1">
      <c r="A7" s="146" t="inlineStr">
        <is>
          <t>Monthly retainers (active)</t>
        </is>
      </c>
      <c r="C7" s="35" t="inlineStr">
        <is>
          <t>Team cost allocated to pod</t>
        </is>
      </c>
      <c r="E7" s="35" t="inlineStr">
        <is>
          <t>Revenue minus payroll</t>
        </is>
      </c>
      <c r="G7" s="35" t="inlineStr">
        <is>
          <t>Before shared Opex</t>
        </is>
      </c>
    </row>
    <row r="8" ht="6" customHeight="1">
      <c r="A8" s="147" t="inlineStr"/>
      <c r="C8" s="37" t="inlineStr"/>
      <c r="E8" s="37" t="inlineStr"/>
      <c r="G8" s="37" t="inlineStr"/>
    </row>
    <row r="9" ht="8" customHeight="1"/>
    <row r="10" ht="20" customHeight="1">
      <c r="A10" s="148" t="inlineStr">
        <is>
          <t xml:space="preserve">  CLIENT ROSTER</t>
        </is>
      </c>
    </row>
    <row r="11" ht="18" customHeight="1">
      <c r="A11" s="39" t="inlineStr">
        <is>
          <t>Client</t>
        </is>
      </c>
      <c r="B11" s="40" t="inlineStr">
        <is>
          <t>Retainer/Mo</t>
        </is>
      </c>
      <c r="C11" s="40" t="inlineStr">
        <is>
          <t>Annual Value</t>
        </is>
      </c>
      <c r="D11" s="39" t="inlineStr">
        <is>
          <t>Status</t>
        </is>
      </c>
      <c r="E11" s="39" t="inlineStr">
        <is>
          <t>Contract</t>
        </is>
      </c>
      <c r="F11" s="39" t="inlineStr">
        <is>
          <t>Commission To</t>
        </is>
      </c>
      <c r="G11" s="40" t="inlineStr">
        <is>
          <t>Comm/Mo</t>
        </is>
      </c>
      <c r="H11" s="39" t="inlineStr"/>
      <c r="I11" s="39" t="inlineStr"/>
      <c r="J11" s="39" t="inlineStr">
        <is>
          <t>Notes</t>
        </is>
      </c>
    </row>
    <row r="12" ht="18" customHeight="1">
      <c r="A12" s="64" t="inlineStr">
        <is>
          <t>Violet Witchel</t>
        </is>
      </c>
      <c r="B12" s="43" t="inlineStr">
        <is>
          <t>$5,000</t>
        </is>
      </c>
      <c r="C12" s="44" t="inlineStr">
        <is>
          <t>$60,000</t>
        </is>
      </c>
      <c r="D12" s="71" t="inlineStr">
        <is>
          <t>Active</t>
        </is>
      </c>
      <c r="E12" s="86" t="inlineStr">
        <is>
          <t>3 then MTM</t>
        </is>
      </c>
      <c r="F12" s="87" t="inlineStr">
        <is>
          <t>—</t>
        </is>
      </c>
      <c r="G12" s="44" t="inlineStr">
        <is>
          <t>—</t>
        </is>
      </c>
      <c r="H12" s="113" t="inlineStr"/>
      <c r="I12" s="113" t="inlineStr"/>
      <c r="J12" s="88" t="inlineStr">
        <is>
          <t>Viral dot cake + NY pop-up</t>
        </is>
      </c>
    </row>
    <row r="13" ht="18" customHeight="1">
      <c r="A13" s="76" t="inlineStr">
        <is>
          <t>G&amp;B Digital Management</t>
        </is>
      </c>
      <c r="B13" s="49" t="inlineStr">
        <is>
          <t>$5,000</t>
        </is>
      </c>
      <c r="C13" s="50" t="inlineStr">
        <is>
          <t>$60,000</t>
        </is>
      </c>
      <c r="D13" s="71" t="inlineStr">
        <is>
          <t>Active</t>
        </is>
      </c>
      <c r="E13" s="90" t="inlineStr">
        <is>
          <t>6 then MTM</t>
        </is>
      </c>
      <c r="F13" s="94" t="inlineStr">
        <is>
          <t>—</t>
        </is>
      </c>
      <c r="G13" s="50" t="inlineStr">
        <is>
          <t>—</t>
        </is>
      </c>
      <c r="H13" s="113" t="inlineStr"/>
      <c r="I13" s="113" t="inlineStr"/>
      <c r="J13" s="93" t="inlineStr">
        <is>
          <t>Studio launch + UK hire</t>
        </is>
      </c>
    </row>
    <row r="14" ht="18" customHeight="1">
      <c r="A14" s="64" t="inlineStr">
        <is>
          <t>Asante Madrigal</t>
        </is>
      </c>
      <c r="B14" s="43" t="inlineStr">
        <is>
          <t>$5,000</t>
        </is>
      </c>
      <c r="C14" s="44" t="inlineStr">
        <is>
          <t>$60,000</t>
        </is>
      </c>
      <c r="D14" s="71" t="inlineStr">
        <is>
          <t>Active</t>
        </is>
      </c>
      <c r="E14" s="86" t="inlineStr">
        <is>
          <t>3 then MTM</t>
        </is>
      </c>
      <c r="F14" s="87" t="inlineStr">
        <is>
          <t>—</t>
        </is>
      </c>
      <c r="G14" s="44" t="inlineStr">
        <is>
          <t>—</t>
        </is>
      </c>
      <c r="H14" s="113" t="inlineStr"/>
      <c r="I14" s="113" t="inlineStr"/>
      <c r="J14" s="88" t="inlineStr">
        <is>
          <t>NEW — started 5/26/26</t>
        </is>
      </c>
    </row>
    <row r="15" ht="18" customHeight="1">
      <c r="A15" s="76" t="inlineStr">
        <is>
          <t>Sophie Saint Marjan</t>
        </is>
      </c>
      <c r="B15" s="49" t="inlineStr">
        <is>
          <t>$4,500</t>
        </is>
      </c>
      <c r="C15" s="50" t="inlineStr">
        <is>
          <t>$54,000</t>
        </is>
      </c>
      <c r="D15" s="71" t="inlineStr">
        <is>
          <t>Active</t>
        </is>
      </c>
      <c r="E15" s="90" t="inlineStr">
        <is>
          <t>MTM</t>
        </is>
      </c>
      <c r="F15" s="91" t="inlineStr">
        <is>
          <t>Anne</t>
        </is>
      </c>
      <c r="G15" s="92" t="inlineStr">
        <is>
          <t>$500</t>
        </is>
      </c>
      <c r="H15" s="113" t="inlineStr"/>
      <c r="I15" s="113" t="inlineStr"/>
      <c r="J15" s="93" t="inlineStr">
        <is>
          <t>BizWomen features</t>
        </is>
      </c>
    </row>
    <row r="16" ht="18" customHeight="1">
      <c r="A16" s="64" t="inlineStr">
        <is>
          <t>Jamie Milne</t>
        </is>
      </c>
      <c r="B16" s="43" t="inlineStr">
        <is>
          <t>$4,500</t>
        </is>
      </c>
      <c r="C16" s="44" t="inlineStr">
        <is>
          <t>$54,000</t>
        </is>
      </c>
      <c r="D16" s="71" t="inlineStr">
        <is>
          <t>Active</t>
        </is>
      </c>
      <c r="E16" s="86" t="inlineStr">
        <is>
          <t>MTM</t>
        </is>
      </c>
      <c r="F16" s="87" t="inlineStr">
        <is>
          <t>—</t>
        </is>
      </c>
      <c r="G16" s="44" t="inlineStr">
        <is>
          <t>—</t>
        </is>
      </c>
      <c r="H16" s="113" t="inlineStr"/>
      <c r="I16" s="113" t="inlineStr"/>
      <c r="J16" s="88" t="inlineStr">
        <is>
          <t>Snack dinner + mocktails</t>
        </is>
      </c>
    </row>
    <row r="17" ht="18" customHeight="1">
      <c r="A17" s="76" t="inlineStr">
        <is>
          <t>Shelton Wilder</t>
        </is>
      </c>
      <c r="B17" s="49" t="inlineStr">
        <is>
          <t>$4,500</t>
        </is>
      </c>
      <c r="C17" s="50" t="inlineStr">
        <is>
          <t>$54,000</t>
        </is>
      </c>
      <c r="D17" s="71" t="inlineStr">
        <is>
          <t>Active</t>
        </is>
      </c>
      <c r="E17" s="90" t="inlineStr">
        <is>
          <t>3 then MTM</t>
        </is>
      </c>
      <c r="F17" s="94" t="inlineStr">
        <is>
          <t>—</t>
        </is>
      </c>
      <c r="G17" s="50" t="inlineStr">
        <is>
          <t>—</t>
        </is>
      </c>
      <c r="H17" s="113" t="inlineStr"/>
      <c r="I17" s="113" t="inlineStr"/>
      <c r="J17" s="93" t="inlineStr">
        <is>
          <t>Summer listings angles</t>
        </is>
      </c>
    </row>
    <row r="18" ht="18" customHeight="1">
      <c r="A18" s="64" t="inlineStr">
        <is>
          <t>Brittny Button</t>
        </is>
      </c>
      <c r="B18" s="43" t="inlineStr">
        <is>
          <t>$4,000</t>
        </is>
      </c>
      <c r="C18" s="44" t="inlineStr">
        <is>
          <t>$48,000</t>
        </is>
      </c>
      <c r="D18" s="71" t="inlineStr">
        <is>
          <t>Active</t>
        </is>
      </c>
      <c r="E18" s="86" t="inlineStr">
        <is>
          <t>MTM</t>
        </is>
      </c>
      <c r="F18" s="87" t="inlineStr">
        <is>
          <t>—</t>
        </is>
      </c>
      <c r="G18" s="44" t="inlineStr">
        <is>
          <t>—</t>
        </is>
      </c>
      <c r="H18" s="113" t="inlineStr"/>
      <c r="I18" s="113" t="inlineStr"/>
      <c r="J18" s="88" t="inlineStr">
        <is>
          <t>Monaco GP GRWM — Paris-based</t>
        </is>
      </c>
    </row>
    <row r="19" ht="18" customHeight="1">
      <c r="A19" s="76" t="inlineStr">
        <is>
          <t>Danielle Cohn</t>
        </is>
      </c>
      <c r="B19" s="49" t="inlineStr">
        <is>
          <t>$5,000</t>
        </is>
      </c>
      <c r="C19" s="50" t="inlineStr">
        <is>
          <t>$60,000</t>
        </is>
      </c>
      <c r="D19" s="101" t="inlineStr">
        <is>
          <t>Pro Bono</t>
        </is>
      </c>
      <c r="E19" s="90" t="inlineStr">
        <is>
          <t>PB</t>
        </is>
      </c>
      <c r="F19" s="94" t="inlineStr">
        <is>
          <t>—</t>
        </is>
      </c>
      <c r="G19" s="50" t="inlineStr">
        <is>
          <t>—</t>
        </is>
      </c>
      <c r="H19" s="113" t="inlineStr"/>
      <c r="I19" s="113" t="inlineStr"/>
      <c r="J19" s="93" t="inlineStr">
        <is>
          <t>Started 4/20/26</t>
        </is>
      </c>
    </row>
    <row r="21" ht="20" customHeight="1">
      <c r="A21" s="107" t="inlineStr">
        <is>
          <t xml:space="preserve">  DEPARTING</t>
        </is>
      </c>
    </row>
    <row r="22" ht="18" customHeight="1">
      <c r="A22" s="108" t="inlineStr">
        <is>
          <t>Paige Lindgren</t>
        </is>
      </c>
      <c r="B22" s="139" t="inlineStr">
        <is>
          <t>$5,000</t>
        </is>
      </c>
      <c r="C22" s="111" t="inlineStr">
        <is>
          <t>$60,000</t>
        </is>
      </c>
      <c r="D22" s="41" t="inlineStr">
        <is>
          <t>Departing</t>
        </is>
      </c>
      <c r="E22" s="112" t="inlineStr">
        <is>
          <t>6 months</t>
        </is>
      </c>
      <c r="F22" s="113" t="inlineStr"/>
      <c r="G22" s="113" t="inlineStr"/>
      <c r="H22" s="113" t="inlineStr"/>
      <c r="I22" s="113" t="inlineStr"/>
      <c r="J22" s="114" t="inlineStr">
        <is>
          <t>⚠ Final 6/3/2026</t>
        </is>
      </c>
    </row>
    <row r="23" ht="18" customHeight="1">
      <c r="A23" s="108" t="inlineStr">
        <is>
          <t>Kai Stone</t>
        </is>
      </c>
      <c r="B23" s="139" t="inlineStr">
        <is>
          <t>$4,250</t>
        </is>
      </c>
      <c r="C23" s="111" t="inlineStr">
        <is>
          <t>$51,000</t>
        </is>
      </c>
      <c r="D23" s="41" t="inlineStr">
        <is>
          <t>Departing</t>
        </is>
      </c>
      <c r="E23" s="112" t="inlineStr">
        <is>
          <t>3 months</t>
        </is>
      </c>
      <c r="F23" s="113" t="inlineStr"/>
      <c r="G23" s="113" t="inlineStr"/>
      <c r="H23" s="113" t="inlineStr"/>
      <c r="I23" s="113" t="inlineStr"/>
      <c r="J23" s="114" t="inlineStr">
        <is>
          <t>Final 6/16/2026</t>
        </is>
      </c>
    </row>
    <row r="25" ht="20" customHeight="1">
      <c r="A25" s="148" t="inlineStr">
        <is>
          <t xml:space="preserve">  TEAM ALLOCATION</t>
        </is>
      </c>
    </row>
    <row r="26" ht="18" customHeight="1">
      <c r="A26" s="39" t="inlineStr">
        <is>
          <t>Team Member</t>
        </is>
      </c>
      <c r="B26" s="39" t="inlineStr">
        <is>
          <t>Title</t>
        </is>
      </c>
      <c r="C26" s="40" t="inlineStr">
        <is>
          <t>Annual Salary</t>
        </is>
      </c>
      <c r="D26" s="40" t="inlineStr">
        <is>
          <t>Cost/Month</t>
        </is>
      </c>
      <c r="E26" s="40" t="inlineStr">
        <is>
          <t>% to Pod</t>
        </is>
      </c>
      <c r="F26" s="40" t="inlineStr">
        <is>
          <t>Pod Cost</t>
        </is>
      </c>
      <c r="G26" s="39" t="inlineStr"/>
      <c r="H26" s="39" t="inlineStr"/>
      <c r="I26" s="39" t="inlineStr"/>
      <c r="J26" s="39" t="inlineStr">
        <is>
          <t>Notes</t>
        </is>
      </c>
    </row>
    <row r="27" ht="18" customHeight="1">
      <c r="A27" s="64" t="inlineStr">
        <is>
          <t>Jenna Wilen</t>
        </is>
      </c>
      <c r="B27" s="11" t="inlineStr">
        <is>
          <t>Account Executive</t>
        </is>
      </c>
      <c r="C27" s="44" t="inlineStr">
        <is>
          <t>$75,000</t>
        </is>
      </c>
      <c r="D27" s="44" t="inlineStr">
        <is>
          <t>$6,250</t>
        </is>
      </c>
      <c r="E27" s="80" t="inlineStr">
        <is>
          <t>100%</t>
        </is>
      </c>
      <c r="F27" s="43" t="inlineStr">
        <is>
          <t>$6,250</t>
        </is>
      </c>
      <c r="G27" s="113" t="inlineStr"/>
      <c r="H27" s="113" t="inlineStr"/>
      <c r="I27" s="113" t="inlineStr"/>
      <c r="J27" s="69" t="inlineStr">
        <is>
          <t>100% Creator</t>
        </is>
      </c>
    </row>
    <row r="28" ht="18" customHeight="1">
      <c r="A28" s="76" t="inlineStr">
        <is>
          <t>Hannah Fitzpatrick</t>
        </is>
      </c>
      <c r="B28" s="52" t="inlineStr">
        <is>
          <t>Jr. Account Executive</t>
        </is>
      </c>
      <c r="C28" s="50" t="inlineStr">
        <is>
          <t>$58,240</t>
        </is>
      </c>
      <c r="D28" s="50" t="inlineStr">
        <is>
          <t>$4,853</t>
        </is>
      </c>
      <c r="E28" s="81" t="inlineStr">
        <is>
          <t>100%</t>
        </is>
      </c>
      <c r="F28" s="49" t="inlineStr">
        <is>
          <t>$4,853</t>
        </is>
      </c>
      <c r="G28" s="113" t="inlineStr"/>
      <c r="H28" s="113" t="inlineStr"/>
      <c r="I28" s="113" t="inlineStr"/>
      <c r="J28" s="74" t="inlineStr">
        <is>
          <t>100% Creator</t>
        </is>
      </c>
    </row>
    <row r="29" ht="18" customHeight="1">
      <c r="A29" s="64" t="inlineStr">
        <is>
          <t>Sophie Strasser</t>
        </is>
      </c>
      <c r="B29" s="11" t="inlineStr">
        <is>
          <t>Account Coordinator</t>
        </is>
      </c>
      <c r="C29" s="44" t="inlineStr">
        <is>
          <t>$52,000</t>
        </is>
      </c>
      <c r="D29" s="44" t="inlineStr">
        <is>
          <t>$4,333</t>
        </is>
      </c>
      <c r="E29" s="80" t="inlineStr">
        <is>
          <t>50%</t>
        </is>
      </c>
      <c r="F29" s="43" t="inlineStr">
        <is>
          <t>$2,167</t>
        </is>
      </c>
      <c r="G29" s="113" t="inlineStr"/>
      <c r="H29" s="113" t="inlineStr"/>
      <c r="I29" s="113" t="inlineStr"/>
      <c r="J29" s="69" t="inlineStr">
        <is>
          <t>50% Creator / 50% Ent</t>
        </is>
      </c>
    </row>
    <row r="30" ht="18" customHeight="1">
      <c r="A30" s="76" t="inlineStr">
        <is>
          <t>Caitlyn Fruehauf</t>
        </is>
      </c>
      <c r="B30" s="52" t="inlineStr">
        <is>
          <t>Events Manager</t>
        </is>
      </c>
      <c r="C30" s="50" t="inlineStr">
        <is>
          <t>$72,072</t>
        </is>
      </c>
      <c r="D30" s="50" t="inlineStr">
        <is>
          <t>$6,006</t>
        </is>
      </c>
      <c r="E30" s="81" t="inlineStr">
        <is>
          <t>25%</t>
        </is>
      </c>
      <c r="F30" s="49" t="inlineStr">
        <is>
          <t>$1,502</t>
        </is>
      </c>
      <c r="G30" s="113" t="inlineStr"/>
      <c r="H30" s="113" t="inlineStr"/>
      <c r="I30" s="113" t="inlineStr"/>
      <c r="J30" s="74" t="inlineStr">
        <is>
          <t>25% shared across 4 pods</t>
        </is>
      </c>
    </row>
    <row r="31" ht="18" customHeight="1">
      <c r="A31" s="64" t="inlineStr">
        <is>
          <t>Valeria Flores</t>
        </is>
      </c>
      <c r="B31" s="11" t="inlineStr">
        <is>
          <t>Events &amp; Social Media</t>
        </is>
      </c>
      <c r="C31" s="44" t="inlineStr">
        <is>
          <t>$52,000</t>
        </is>
      </c>
      <c r="D31" s="44" t="inlineStr">
        <is>
          <t>$4,333</t>
        </is>
      </c>
      <c r="E31" s="80" t="inlineStr">
        <is>
          <t>18%</t>
        </is>
      </c>
      <c r="F31" s="43" t="inlineStr">
        <is>
          <t>$758</t>
        </is>
      </c>
      <c r="G31" s="113" t="inlineStr"/>
      <c r="H31" s="113" t="inlineStr"/>
      <c r="I31" s="113" t="inlineStr"/>
      <c r="J31" s="69" t="inlineStr">
        <is>
          <t>17.5% shared across 4 pods</t>
        </is>
      </c>
    </row>
    <row r="32" ht="20" customHeight="1">
      <c r="A32" s="56" t="inlineStr">
        <is>
          <t>TOTAL POD COST</t>
        </is>
      </c>
      <c r="B32" s="36" t="inlineStr"/>
      <c r="C32" s="36" t="inlineStr"/>
      <c r="D32" s="36" t="inlineStr"/>
      <c r="E32" s="36" t="inlineStr"/>
      <c r="F32" s="128" t="inlineStr">
        <is>
          <t>$15,530</t>
        </is>
      </c>
    </row>
    <row r="34" ht="20" customHeight="1">
      <c r="A34" s="148" t="inlineStr">
        <is>
          <t xml:space="preserve">  POD P&amp;L SUMMARY</t>
        </is>
      </c>
    </row>
    <row r="35" ht="18" customHeight="1">
      <c r="A35" s="64" t="inlineStr">
        <is>
          <t>Pod Revenue</t>
        </is>
      </c>
      <c r="B35" s="65" t="inlineStr">
        <is>
          <t>$23,000</t>
        </is>
      </c>
    </row>
    <row r="36" ht="18" customHeight="1">
      <c r="A36" s="9" t="inlineStr">
        <is>
          <t>Team Cost</t>
        </is>
      </c>
      <c r="B36" s="68" t="inlineStr">
        <is>
          <t>$15,530</t>
        </is>
      </c>
    </row>
    <row r="37" ht="18" customHeight="1">
      <c r="A37" s="64" t="inlineStr">
        <is>
          <t>Gross Profit</t>
        </is>
      </c>
      <c r="B37" s="78" t="inlineStr">
        <is>
          <t>$7,470</t>
        </is>
      </c>
    </row>
    <row r="38" ht="18" customHeight="1">
      <c r="A38" s="76" t="inlineStr">
        <is>
          <t>Gross Margin</t>
        </is>
      </c>
      <c r="B38" s="140" t="inlineStr">
        <is>
          <t>32.5%</t>
        </is>
      </c>
    </row>
    <row r="39" ht="18" customHeight="1">
      <c r="A39" s="7" t="inlineStr">
        <is>
          <t>Cost as % Rev</t>
        </is>
      </c>
      <c r="B39" s="73" t="inlineStr">
        <is>
          <t>67.5%</t>
        </is>
      </c>
    </row>
  </sheetData>
  <mergeCells count="32">
    <mergeCell ref="C6:D6"/>
    <mergeCell ref="C5:D5"/>
    <mergeCell ref="E5:F5"/>
    <mergeCell ref="G8:H8"/>
    <mergeCell ref="A10:J10"/>
    <mergeCell ref="E8:F8"/>
    <mergeCell ref="A6:B6"/>
    <mergeCell ref="C4:D4"/>
    <mergeCell ref="E4:F4"/>
    <mergeCell ref="B39:F39"/>
    <mergeCell ref="A7:B7"/>
    <mergeCell ref="G7:H7"/>
    <mergeCell ref="A34:J34"/>
    <mergeCell ref="G6:H6"/>
    <mergeCell ref="A1:J1"/>
    <mergeCell ref="E6:F6"/>
    <mergeCell ref="B38:F38"/>
    <mergeCell ref="A5:B5"/>
    <mergeCell ref="G5:H5"/>
    <mergeCell ref="B37:F37"/>
    <mergeCell ref="A8:B8"/>
    <mergeCell ref="A25:J25"/>
    <mergeCell ref="C8:D8"/>
    <mergeCell ref="A4:B4"/>
    <mergeCell ref="G4:H4"/>
    <mergeCell ref="C7:D7"/>
    <mergeCell ref="E7:F7"/>
    <mergeCell ref="A3:J3"/>
    <mergeCell ref="A21:J21"/>
    <mergeCell ref="B36:F36"/>
    <mergeCell ref="A2:J2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40" customHeight="1">
      <c r="A1" s="149" t="inlineStr">
        <is>
          <t xml:space="preserve">  🟢 Athlete &amp; Fitness Pod</t>
        </is>
      </c>
    </row>
    <row r="2" ht="18" customHeight="1">
      <c r="A2" s="150" t="inlineStr">
        <is>
          <t xml:space="preserve">  Pod Lead: Sophia Ribner  ·  9 active clients  ·  $34,000/mo revenue  ·  70.0% margin  ·  Jun 3, 2026</t>
        </is>
      </c>
    </row>
    <row r="3" ht="6" customHeight="1">
      <c r="A3" s="151" t="inlineStr"/>
    </row>
    <row r="4" ht="4" customHeight="1">
      <c r="A4" s="22" t="inlineStr"/>
      <c r="C4" s="26" t="inlineStr"/>
      <c r="E4" s="23" t="inlineStr"/>
      <c r="G4" s="23" t="inlineStr"/>
    </row>
    <row r="5" ht="14" customHeight="1">
      <c r="A5" s="152" t="inlineStr">
        <is>
          <t>POD REVENUE</t>
        </is>
      </c>
      <c r="C5" s="28" t="inlineStr">
        <is>
          <t>POD PAYROLL</t>
        </is>
      </c>
      <c r="E5" s="28" t="inlineStr">
        <is>
          <t>GROSS PROFIT</t>
        </is>
      </c>
      <c r="G5" s="28" t="inlineStr">
        <is>
          <t>GROSS MARGIN</t>
        </is>
      </c>
    </row>
    <row r="6" ht="26" customHeight="1">
      <c r="A6" s="153" t="inlineStr">
        <is>
          <t>$34,000</t>
        </is>
      </c>
      <c r="C6" s="123" t="inlineStr">
        <is>
          <t>$10,218</t>
        </is>
      </c>
      <c r="E6" s="124" t="inlineStr">
        <is>
          <t>$23,782</t>
        </is>
      </c>
      <c r="G6" s="124" t="inlineStr">
        <is>
          <t>70.0%</t>
        </is>
      </c>
    </row>
    <row r="7" ht="15" customHeight="1">
      <c r="A7" s="154" t="inlineStr">
        <is>
          <t>Monthly retainers (active)</t>
        </is>
      </c>
      <c r="C7" s="35" t="inlineStr">
        <is>
          <t>Team cost allocated to pod</t>
        </is>
      </c>
      <c r="E7" s="35" t="inlineStr">
        <is>
          <t>Revenue minus payroll</t>
        </is>
      </c>
      <c r="G7" s="35" t="inlineStr">
        <is>
          <t>Before shared Opex</t>
        </is>
      </c>
    </row>
    <row r="8" ht="6" customHeight="1">
      <c r="A8" s="155" t="inlineStr"/>
      <c r="C8" s="37" t="inlineStr"/>
      <c r="E8" s="37" t="inlineStr"/>
      <c r="G8" s="37" t="inlineStr"/>
    </row>
    <row r="9" ht="8" customHeight="1"/>
    <row r="10" ht="20" customHeight="1">
      <c r="A10" s="156" t="inlineStr">
        <is>
          <t xml:space="preserve">  CLIENT ROSTER</t>
        </is>
      </c>
    </row>
    <row r="11" ht="18" customHeight="1">
      <c r="A11" s="39" t="inlineStr">
        <is>
          <t>Client</t>
        </is>
      </c>
      <c r="B11" s="40" t="inlineStr">
        <is>
          <t>Retainer/Mo</t>
        </is>
      </c>
      <c r="C11" s="40" t="inlineStr">
        <is>
          <t>Annual Value</t>
        </is>
      </c>
      <c r="D11" s="39" t="inlineStr">
        <is>
          <t>Status</t>
        </is>
      </c>
      <c r="E11" s="39" t="inlineStr">
        <is>
          <t>Contract</t>
        </is>
      </c>
      <c r="F11" s="39" t="inlineStr">
        <is>
          <t>Commission To</t>
        </is>
      </c>
      <c r="G11" s="40" t="inlineStr">
        <is>
          <t>Comm/Mo</t>
        </is>
      </c>
      <c r="H11" s="39" t="inlineStr"/>
      <c r="I11" s="39" t="inlineStr"/>
      <c r="J11" s="39" t="inlineStr">
        <is>
          <t>Notes</t>
        </is>
      </c>
    </row>
    <row r="12" ht="18" customHeight="1">
      <c r="A12" s="64" t="inlineStr">
        <is>
          <t>Katie Austin</t>
        </is>
      </c>
      <c r="B12" s="43" t="inlineStr">
        <is>
          <t>$4,000</t>
        </is>
      </c>
      <c r="C12" s="44" t="inlineStr">
        <is>
          <t>$48,000</t>
        </is>
      </c>
      <c r="D12" s="71" t="inlineStr">
        <is>
          <t>Active</t>
        </is>
      </c>
      <c r="E12" s="86" t="inlineStr">
        <is>
          <t>12 months</t>
        </is>
      </c>
      <c r="F12" s="87" t="inlineStr">
        <is>
          <t>—</t>
        </is>
      </c>
      <c r="G12" s="44" t="inlineStr">
        <is>
          <t>—</t>
        </is>
      </c>
      <c r="H12" s="113" t="inlineStr"/>
      <c r="I12" s="113" t="inlineStr"/>
      <c r="J12" s="88" t="inlineStr">
        <is>
          <t>PEOPLE/SI Swim Week</t>
        </is>
      </c>
    </row>
    <row r="13" ht="18" customHeight="1">
      <c r="A13" s="76" t="inlineStr">
        <is>
          <t>Gabby George</t>
        </is>
      </c>
      <c r="B13" s="49" t="inlineStr">
        <is>
          <t>$5,000</t>
        </is>
      </c>
      <c r="C13" s="50" t="inlineStr">
        <is>
          <t>$60,000</t>
        </is>
      </c>
      <c r="D13" s="71" t="inlineStr">
        <is>
          <t>Active</t>
        </is>
      </c>
      <c r="E13" s="90" t="inlineStr">
        <is>
          <t>6 then MTM</t>
        </is>
      </c>
      <c r="F13" s="94" t="inlineStr">
        <is>
          <t>—</t>
        </is>
      </c>
      <c r="G13" s="50" t="inlineStr">
        <is>
          <t>—</t>
        </is>
      </c>
      <c r="H13" s="113" t="inlineStr"/>
      <c r="I13" s="113" t="inlineStr"/>
      <c r="J13" s="93" t="inlineStr"/>
    </row>
    <row r="14" ht="18" customHeight="1">
      <c r="A14" s="64" t="inlineStr">
        <is>
          <t>Chase DeMoor</t>
        </is>
      </c>
      <c r="B14" s="43" t="inlineStr">
        <is>
          <t>$4,500</t>
        </is>
      </c>
      <c r="C14" s="44" t="inlineStr">
        <is>
          <t>$54,000</t>
        </is>
      </c>
      <c r="D14" s="71" t="inlineStr">
        <is>
          <t>Active</t>
        </is>
      </c>
      <c r="E14" s="86" t="inlineStr">
        <is>
          <t>6 then MTM</t>
        </is>
      </c>
      <c r="F14" s="87" t="inlineStr">
        <is>
          <t>—</t>
        </is>
      </c>
      <c r="G14" s="44" t="inlineStr">
        <is>
          <t>—</t>
        </is>
      </c>
      <c r="H14" s="113" t="inlineStr"/>
      <c r="I14" s="113" t="inlineStr"/>
      <c r="J14" s="88" t="inlineStr"/>
    </row>
    <row r="15" ht="18" customHeight="1">
      <c r="A15" s="76" t="inlineStr">
        <is>
          <t>Carson Roney</t>
        </is>
      </c>
      <c r="B15" s="49" t="inlineStr">
        <is>
          <t>$4,500</t>
        </is>
      </c>
      <c r="C15" s="50" t="inlineStr">
        <is>
          <t>$54,000</t>
        </is>
      </c>
      <c r="D15" s="71" t="inlineStr">
        <is>
          <t>Active</t>
        </is>
      </c>
      <c r="E15" s="90" t="inlineStr">
        <is>
          <t>3 then MTM</t>
        </is>
      </c>
      <c r="F15" s="94" t="inlineStr">
        <is>
          <t>—</t>
        </is>
      </c>
      <c r="G15" s="50" t="inlineStr">
        <is>
          <t>—</t>
        </is>
      </c>
      <c r="H15" s="113" t="inlineStr"/>
      <c r="I15" s="113" t="inlineStr"/>
      <c r="J15" s="93" t="inlineStr"/>
    </row>
    <row r="16" ht="18" customHeight="1">
      <c r="A16" s="64" t="inlineStr">
        <is>
          <t>Kail Lowry</t>
        </is>
      </c>
      <c r="B16" s="43" t="inlineStr">
        <is>
          <t>$4,500</t>
        </is>
      </c>
      <c r="C16" s="44" t="inlineStr">
        <is>
          <t>$54,000</t>
        </is>
      </c>
      <c r="D16" s="71" t="inlineStr">
        <is>
          <t>Active</t>
        </is>
      </c>
      <c r="E16" s="86" t="inlineStr">
        <is>
          <t>3 months</t>
        </is>
      </c>
      <c r="F16" s="87" t="inlineStr">
        <is>
          <t>—</t>
        </is>
      </c>
      <c r="G16" s="44" t="inlineStr">
        <is>
          <t>—</t>
        </is>
      </c>
      <c r="H16" s="113" t="inlineStr"/>
      <c r="I16" s="113" t="inlineStr"/>
      <c r="J16" s="88" t="inlineStr"/>
    </row>
    <row r="17" ht="18" customHeight="1">
      <c r="A17" s="76" t="inlineStr">
        <is>
          <t>TJ Palma</t>
        </is>
      </c>
      <c r="B17" s="49" t="inlineStr">
        <is>
          <t>$4,500</t>
        </is>
      </c>
      <c r="C17" s="50" t="inlineStr">
        <is>
          <t>$54,000</t>
        </is>
      </c>
      <c r="D17" s="71" t="inlineStr">
        <is>
          <t>Active</t>
        </is>
      </c>
      <c r="E17" s="90" t="inlineStr">
        <is>
          <t>3 then MTM</t>
        </is>
      </c>
      <c r="F17" s="94" t="inlineStr">
        <is>
          <t>—</t>
        </is>
      </c>
      <c r="G17" s="50" t="inlineStr">
        <is>
          <t>—</t>
        </is>
      </c>
      <c r="H17" s="113" t="inlineStr"/>
      <c r="I17" s="113" t="inlineStr"/>
      <c r="J17" s="93" t="inlineStr"/>
    </row>
    <row r="18" ht="18" customHeight="1">
      <c r="A18" s="64" t="inlineStr">
        <is>
          <t>Aditi Shah</t>
        </is>
      </c>
      <c r="B18" s="43" t="inlineStr">
        <is>
          <t>$4,000</t>
        </is>
      </c>
      <c r="C18" s="44" t="inlineStr">
        <is>
          <t>$48,000</t>
        </is>
      </c>
      <c r="D18" s="71" t="inlineStr">
        <is>
          <t>Active</t>
        </is>
      </c>
      <c r="E18" s="86" t="inlineStr">
        <is>
          <t>3 months</t>
        </is>
      </c>
      <c r="F18" s="87" t="inlineStr">
        <is>
          <t>—</t>
        </is>
      </c>
      <c r="G18" s="44" t="inlineStr">
        <is>
          <t>—</t>
        </is>
      </c>
      <c r="H18" s="113" t="inlineStr"/>
      <c r="I18" s="113" t="inlineStr"/>
      <c r="J18" s="88" t="inlineStr">
        <is>
          <t>Intro rate</t>
        </is>
      </c>
    </row>
    <row r="19" ht="18" customHeight="1">
      <c r="A19" s="76" t="inlineStr">
        <is>
          <t>Millennial Entertainment</t>
        </is>
      </c>
      <c r="B19" s="49" t="inlineStr">
        <is>
          <t>$3,000</t>
        </is>
      </c>
      <c r="C19" s="50" t="inlineStr">
        <is>
          <t>$36,000</t>
        </is>
      </c>
      <c r="D19" s="71" t="inlineStr">
        <is>
          <t>Active</t>
        </is>
      </c>
      <c r="E19" s="90" t="inlineStr">
        <is>
          <t>3 then MTM</t>
        </is>
      </c>
      <c r="F19" s="94" t="inlineStr">
        <is>
          <t>—</t>
        </is>
      </c>
      <c r="G19" s="50" t="inlineStr">
        <is>
          <t>—</t>
        </is>
      </c>
      <c r="H19" s="113" t="inlineStr"/>
      <c r="I19" s="113" t="inlineStr"/>
      <c r="J19" s="93" t="inlineStr"/>
    </row>
    <row r="20" ht="18" customHeight="1">
      <c r="A20" s="64" t="inlineStr">
        <is>
          <t>Modeliste Magazine</t>
        </is>
      </c>
      <c r="B20" s="96" t="inlineStr">
        <is>
          <t>Pro Bono</t>
        </is>
      </c>
      <c r="C20" s="44" t="inlineStr">
        <is>
          <t>—</t>
        </is>
      </c>
      <c r="D20" s="101" t="inlineStr">
        <is>
          <t>Pro Bono</t>
        </is>
      </c>
      <c r="E20" s="86" t="inlineStr">
        <is>
          <t>PB</t>
        </is>
      </c>
      <c r="F20" s="87" t="inlineStr">
        <is>
          <t>—</t>
        </is>
      </c>
      <c r="G20" s="44" t="inlineStr">
        <is>
          <t>—</t>
        </is>
      </c>
      <c r="H20" s="113" t="inlineStr"/>
      <c r="I20" s="113" t="inlineStr"/>
      <c r="J20" s="88" t="inlineStr">
        <is>
          <t>$7,500/cover secured</t>
        </is>
      </c>
    </row>
    <row r="22" ht="20" customHeight="1">
      <c r="A22" s="156" t="inlineStr">
        <is>
          <t xml:space="preserve">  TEAM ALLOCATION</t>
        </is>
      </c>
    </row>
    <row r="23" ht="18" customHeight="1">
      <c r="A23" s="39" t="inlineStr">
        <is>
          <t>Team Member</t>
        </is>
      </c>
      <c r="B23" s="39" t="inlineStr">
        <is>
          <t>Title</t>
        </is>
      </c>
      <c r="C23" s="40" t="inlineStr">
        <is>
          <t>Annual Salary</t>
        </is>
      </c>
      <c r="D23" s="40" t="inlineStr">
        <is>
          <t>Cost/Month</t>
        </is>
      </c>
      <c r="E23" s="40" t="inlineStr">
        <is>
          <t>% to Pod</t>
        </is>
      </c>
      <c r="F23" s="40" t="inlineStr">
        <is>
          <t>Pod Cost</t>
        </is>
      </c>
      <c r="G23" s="39" t="inlineStr"/>
      <c r="H23" s="39" t="inlineStr"/>
      <c r="I23" s="39" t="inlineStr"/>
      <c r="J23" s="39" t="inlineStr">
        <is>
          <t>Notes</t>
        </is>
      </c>
    </row>
    <row r="24" ht="18" customHeight="1">
      <c r="A24" s="64" t="inlineStr">
        <is>
          <t>Sophia Ribner</t>
        </is>
      </c>
      <c r="B24" s="11" t="inlineStr">
        <is>
          <t>Account Executive</t>
        </is>
      </c>
      <c r="C24" s="44" t="inlineStr">
        <is>
          <t>$69,500</t>
        </is>
      </c>
      <c r="D24" s="44" t="inlineStr">
        <is>
          <t>$5,792</t>
        </is>
      </c>
      <c r="E24" s="80" t="inlineStr">
        <is>
          <t>100%</t>
        </is>
      </c>
      <c r="F24" s="43" t="inlineStr">
        <is>
          <t>$5,792</t>
        </is>
      </c>
      <c r="G24" s="113" t="inlineStr"/>
      <c r="H24" s="113" t="inlineStr"/>
      <c r="I24" s="113" t="inlineStr"/>
      <c r="J24" s="69" t="inlineStr">
        <is>
          <t>100% Athlete &amp; Fitness</t>
        </is>
      </c>
    </row>
    <row r="25" ht="18" customHeight="1">
      <c r="A25" s="76" t="inlineStr">
        <is>
          <t>Jackson Goldman</t>
        </is>
      </c>
      <c r="B25" s="52" t="inlineStr">
        <is>
          <t>Account Coordinator</t>
        </is>
      </c>
      <c r="C25" s="50" t="inlineStr">
        <is>
          <t>$52,000</t>
        </is>
      </c>
      <c r="D25" s="50" t="inlineStr">
        <is>
          <t>$4,333</t>
        </is>
      </c>
      <c r="E25" s="81" t="inlineStr">
        <is>
          <t>50%</t>
        </is>
      </c>
      <c r="F25" s="49" t="inlineStr">
        <is>
          <t>$2,167</t>
        </is>
      </c>
      <c r="G25" s="113" t="inlineStr"/>
      <c r="H25" s="113" t="inlineStr"/>
      <c r="I25" s="113" t="inlineStr"/>
      <c r="J25" s="74" t="inlineStr">
        <is>
          <t>50% A&amp;F / 50% B&amp;F</t>
        </is>
      </c>
    </row>
    <row r="26" ht="18" customHeight="1">
      <c r="A26" s="64" t="inlineStr">
        <is>
          <t>Caitlyn Fruehauf</t>
        </is>
      </c>
      <c r="B26" s="11" t="inlineStr">
        <is>
          <t>Events Manager</t>
        </is>
      </c>
      <c r="C26" s="44" t="inlineStr">
        <is>
          <t>$72,072</t>
        </is>
      </c>
      <c r="D26" s="44" t="inlineStr">
        <is>
          <t>$6,006</t>
        </is>
      </c>
      <c r="E26" s="80" t="inlineStr">
        <is>
          <t>25%</t>
        </is>
      </c>
      <c r="F26" s="43" t="inlineStr">
        <is>
          <t>$1,502</t>
        </is>
      </c>
      <c r="G26" s="113" t="inlineStr"/>
      <c r="H26" s="113" t="inlineStr"/>
      <c r="I26" s="113" t="inlineStr"/>
      <c r="J26" s="69" t="inlineStr">
        <is>
          <t>25% shared across 4 pods</t>
        </is>
      </c>
    </row>
    <row r="27" ht="18" customHeight="1">
      <c r="A27" s="76" t="inlineStr">
        <is>
          <t>Valeria Flores</t>
        </is>
      </c>
      <c r="B27" s="52" t="inlineStr">
        <is>
          <t>Events &amp; Social Media</t>
        </is>
      </c>
      <c r="C27" s="50" t="inlineStr">
        <is>
          <t>$52,000</t>
        </is>
      </c>
      <c r="D27" s="50" t="inlineStr">
        <is>
          <t>$4,333</t>
        </is>
      </c>
      <c r="E27" s="81" t="inlineStr">
        <is>
          <t>18%</t>
        </is>
      </c>
      <c r="F27" s="49" t="inlineStr">
        <is>
          <t>$758</t>
        </is>
      </c>
      <c r="G27" s="113" t="inlineStr"/>
      <c r="H27" s="113" t="inlineStr"/>
      <c r="I27" s="113" t="inlineStr"/>
      <c r="J27" s="74" t="inlineStr">
        <is>
          <t>17.5% shared across 4 pods</t>
        </is>
      </c>
    </row>
    <row r="28" ht="20" customHeight="1">
      <c r="A28" s="56" t="inlineStr">
        <is>
          <t>TOTAL POD COST</t>
        </is>
      </c>
      <c r="B28" s="36" t="inlineStr"/>
      <c r="C28" s="36" t="inlineStr"/>
      <c r="D28" s="36" t="inlineStr"/>
      <c r="E28" s="36" t="inlineStr"/>
      <c r="F28" s="128" t="inlineStr">
        <is>
          <t>$10,219</t>
        </is>
      </c>
    </row>
    <row r="30" ht="20" customHeight="1">
      <c r="A30" s="156" t="inlineStr">
        <is>
          <t xml:space="preserve">  POD P&amp;L SUMMARY</t>
        </is>
      </c>
    </row>
    <row r="31" ht="18" customHeight="1">
      <c r="A31" s="64" t="inlineStr">
        <is>
          <t>Pod Revenue</t>
        </is>
      </c>
      <c r="B31" s="65" t="inlineStr">
        <is>
          <t>$34,000</t>
        </is>
      </c>
    </row>
    <row r="32" ht="18" customHeight="1">
      <c r="A32" s="9" t="inlineStr">
        <is>
          <t>Team Cost</t>
        </is>
      </c>
      <c r="B32" s="68" t="inlineStr">
        <is>
          <t>$10,218</t>
        </is>
      </c>
    </row>
    <row r="33" ht="18" customHeight="1">
      <c r="A33" s="64" t="inlineStr">
        <is>
          <t>Gross Profit</t>
        </is>
      </c>
      <c r="B33" s="78" t="inlineStr">
        <is>
          <t>$23,782</t>
        </is>
      </c>
    </row>
    <row r="34" ht="18" customHeight="1">
      <c r="A34" s="76" t="inlineStr">
        <is>
          <t>Gross Margin</t>
        </is>
      </c>
      <c r="B34" s="79" t="inlineStr">
        <is>
          <t>70.0%</t>
        </is>
      </c>
    </row>
    <row r="35" ht="18" customHeight="1">
      <c r="A35" s="7" t="inlineStr">
        <is>
          <t>Cost as % Rev</t>
        </is>
      </c>
      <c r="B35" s="73" t="inlineStr">
        <is>
          <t>30.1%</t>
        </is>
      </c>
    </row>
  </sheetData>
  <mergeCells count="31">
    <mergeCell ref="C6:D6"/>
    <mergeCell ref="A22:J22"/>
    <mergeCell ref="C5:D5"/>
    <mergeCell ref="E5:F5"/>
    <mergeCell ref="B31:F31"/>
    <mergeCell ref="G8:H8"/>
    <mergeCell ref="A10:J10"/>
    <mergeCell ref="E8:F8"/>
    <mergeCell ref="A6:B6"/>
    <mergeCell ref="C4:D4"/>
    <mergeCell ref="E4:F4"/>
    <mergeCell ref="A7:B7"/>
    <mergeCell ref="G7:H7"/>
    <mergeCell ref="A30:J30"/>
    <mergeCell ref="G6:H6"/>
    <mergeCell ref="A1:J1"/>
    <mergeCell ref="E6:F6"/>
    <mergeCell ref="B34:F34"/>
    <mergeCell ref="A5:B5"/>
    <mergeCell ref="G5:H5"/>
    <mergeCell ref="A8:B8"/>
    <mergeCell ref="C8:D8"/>
    <mergeCell ref="A4:B4"/>
    <mergeCell ref="G4:H4"/>
    <mergeCell ref="C7:D7"/>
    <mergeCell ref="E7:F7"/>
    <mergeCell ref="B33:F33"/>
    <mergeCell ref="A3:J3"/>
    <mergeCell ref="A2:J2"/>
    <mergeCell ref="B32:F32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565C0"/>
    <outlinePr summaryBelow="1" summaryRight="1"/>
    <pageSetUpPr/>
  </sheetPr>
  <dimension ref="A1:J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28" customWidth="1" min="10" max="10"/>
  </cols>
  <sheetData>
    <row r="1" ht="40" customHeight="1">
      <c r="A1" s="157" t="inlineStr">
        <is>
          <t xml:space="preserve">  Brands Division</t>
        </is>
      </c>
    </row>
    <row r="2" ht="18" customHeight="1">
      <c r="A2" s="158" t="inlineStr">
        <is>
          <t xml:space="preserve">  Division Leads: Anne Leopard + Lindsey LeDoux  ·  10 active clients  ·  Jun 3, 2026</t>
        </is>
      </c>
    </row>
    <row r="3" ht="6" customHeight="1">
      <c r="A3" s="159" t="inlineStr"/>
    </row>
    <row r="4" ht="4" customHeight="1">
      <c r="A4" s="22" t="inlineStr"/>
      <c r="C4" s="26" t="inlineStr"/>
      <c r="E4" s="23" t="inlineStr"/>
      <c r="G4" s="23" t="inlineStr"/>
      <c r="I4" s="132" t="inlineStr"/>
    </row>
    <row r="5" ht="14" customHeight="1">
      <c r="A5" s="160" t="inlineStr">
        <is>
          <t>BRANDS REVENUE</t>
        </is>
      </c>
      <c r="C5" s="28" t="inlineStr">
        <is>
          <t>BRANDS PAYROLL</t>
        </is>
      </c>
      <c r="E5" s="28" t="inlineStr">
        <is>
          <t>GROSS PROFIT</t>
        </is>
      </c>
      <c r="G5" s="28" t="inlineStr">
        <is>
          <t>GROSS MARGIN</t>
        </is>
      </c>
      <c r="I5" s="28" t="inlineStr">
        <is>
          <t>COMMISSIONS OUT</t>
        </is>
      </c>
    </row>
    <row r="6" ht="26" customHeight="1">
      <c r="A6" s="161" t="inlineStr">
        <is>
          <t>$56,300</t>
        </is>
      </c>
      <c r="C6" s="123" t="inlineStr">
        <is>
          <t>$30,187</t>
        </is>
      </c>
      <c r="E6" s="124" t="inlineStr">
        <is>
          <t>$26,113</t>
        </is>
      </c>
      <c r="G6" s="124" t="inlineStr">
        <is>
          <t>46.4%</t>
        </is>
      </c>
      <c r="I6" s="135" t="inlineStr">
        <is>
          <t>$4,200</t>
        </is>
      </c>
    </row>
    <row r="7" ht="15" customHeight="1">
      <c r="A7" s="162" t="inlineStr">
        <is>
          <t>Active clients only</t>
        </is>
      </c>
      <c r="C7" s="35" t="inlineStr">
        <is>
          <t>Full brands team payroll</t>
        </is>
      </c>
      <c r="E7" s="35" t="inlineStr">
        <is>
          <t>Revenue minus team cost</t>
        </is>
      </c>
      <c r="G7" s="35" t="inlineStr">
        <is>
          <t>Before shared Opex</t>
        </is>
      </c>
      <c r="I7" s="35" t="inlineStr">
        <is>
          <t>Monthly to external referrers</t>
        </is>
      </c>
    </row>
    <row r="8" ht="6" customHeight="1"/>
    <row r="10" ht="20" customHeight="1">
      <c r="A10" s="163" t="inlineStr">
        <is>
          <t xml:space="preserve">  ANNE LEOPARD — ACCOUNTS  (3 active)</t>
        </is>
      </c>
    </row>
    <row r="11" ht="18" customHeight="1">
      <c r="A11" s="39" t="inlineStr">
        <is>
          <t>Client</t>
        </is>
      </c>
      <c r="B11" s="39" t="inlineStr">
        <is>
          <t>AE Lead</t>
        </is>
      </c>
      <c r="C11" s="40" t="inlineStr">
        <is>
          <t>Retainer/Mo</t>
        </is>
      </c>
      <c r="D11" s="40" t="inlineStr">
        <is>
          <t>Annual</t>
        </is>
      </c>
      <c r="E11" s="39" t="inlineStr">
        <is>
          <t>Status</t>
        </is>
      </c>
      <c r="F11" s="39" t="inlineStr">
        <is>
          <t>Contract</t>
        </is>
      </c>
      <c r="G11" s="39" t="inlineStr">
        <is>
          <t>Comm To</t>
        </is>
      </c>
      <c r="H11" s="40" t="inlineStr">
        <is>
          <t>Comm/Mo</t>
        </is>
      </c>
      <c r="I11" s="39" t="inlineStr"/>
      <c r="J11" s="39" t="inlineStr">
        <is>
          <t>Notes</t>
        </is>
      </c>
    </row>
    <row r="12" ht="18" customHeight="1">
      <c r="A12" s="64" t="inlineStr">
        <is>
          <t>Bell Boy</t>
        </is>
      </c>
      <c r="B12" s="104" t="inlineStr">
        <is>
          <t>Anne</t>
        </is>
      </c>
      <c r="C12" s="43" t="inlineStr">
        <is>
          <t>$7,500</t>
        </is>
      </c>
      <c r="D12" s="44" t="inlineStr">
        <is>
          <t>$90,000</t>
        </is>
      </c>
      <c r="E12" s="71" t="inlineStr">
        <is>
          <t>Active</t>
        </is>
      </c>
      <c r="F12" s="86" t="inlineStr">
        <is>
          <t>MTM</t>
        </is>
      </c>
      <c r="G12" s="87" t="inlineStr">
        <is>
          <t>—</t>
        </is>
      </c>
      <c r="H12" s="44" t="inlineStr">
        <is>
          <t>—</t>
        </is>
      </c>
      <c r="I12" s="113" t="inlineStr"/>
      <c r="J12" s="88" t="inlineStr">
        <is>
          <t>EMBARGO 6/21 — Caelynn Bell fashion</t>
        </is>
      </c>
    </row>
    <row r="13" ht="18" customHeight="1">
      <c r="A13" s="76" t="inlineStr">
        <is>
          <t>RedHanded</t>
        </is>
      </c>
      <c r="B13" s="105" t="inlineStr">
        <is>
          <t>Anne</t>
        </is>
      </c>
      <c r="C13" s="49" t="inlineStr">
        <is>
          <t>$5,000</t>
        </is>
      </c>
      <c r="D13" s="50" t="inlineStr">
        <is>
          <t>$60,000</t>
        </is>
      </c>
      <c r="E13" s="71" t="inlineStr">
        <is>
          <t>Active</t>
        </is>
      </c>
      <c r="F13" s="90" t="inlineStr">
        <is>
          <t>6 then MTM</t>
        </is>
      </c>
      <c r="G13" s="94" t="inlineStr">
        <is>
          <t>—</t>
        </is>
      </c>
      <c r="H13" s="50" t="inlineStr">
        <is>
          <t>—</t>
        </is>
      </c>
      <c r="I13" s="113" t="inlineStr"/>
      <c r="J13" s="93" t="inlineStr">
        <is>
          <t>True crime women — Forbes</t>
        </is>
      </c>
    </row>
    <row r="14" ht="18" customHeight="1">
      <c r="A14" s="64" t="inlineStr">
        <is>
          <t>Olivia Ponton</t>
        </is>
      </c>
      <c r="B14" s="104" t="inlineStr">
        <is>
          <t>Anne</t>
        </is>
      </c>
      <c r="C14" s="43" t="inlineStr">
        <is>
          <t>$4,050</t>
        </is>
      </c>
      <c r="D14" s="44" t="inlineStr">
        <is>
          <t>$48,600</t>
        </is>
      </c>
      <c r="E14" s="71" t="inlineStr">
        <is>
          <t>Active</t>
        </is>
      </c>
      <c r="F14" s="86" t="inlineStr">
        <is>
          <t>3 months</t>
        </is>
      </c>
      <c r="G14" s="95" t="inlineStr">
        <is>
          <t>Anne</t>
        </is>
      </c>
      <c r="H14" s="96" t="inlineStr">
        <is>
          <t>$450</t>
        </is>
      </c>
      <c r="I14" s="113" t="inlineStr"/>
      <c r="J14" s="88" t="inlineStr">
        <is>
          <t>Cannes GRWM</t>
        </is>
      </c>
    </row>
    <row r="16" ht="20" customHeight="1">
      <c r="A16" s="163" t="inlineStr">
        <is>
          <t xml:space="preserve">  LINDSEY LeDOUX — ACCOUNTS  (7 active)</t>
        </is>
      </c>
    </row>
    <row r="17" ht="18" customHeight="1">
      <c r="A17" s="39" t="inlineStr">
        <is>
          <t>Client</t>
        </is>
      </c>
      <c r="B17" s="39" t="inlineStr">
        <is>
          <t>AE Lead</t>
        </is>
      </c>
      <c r="C17" s="40" t="inlineStr">
        <is>
          <t>Retainer/Mo</t>
        </is>
      </c>
      <c r="D17" s="40" t="inlineStr">
        <is>
          <t>Annual</t>
        </is>
      </c>
      <c r="E17" s="39" t="inlineStr">
        <is>
          <t>Status</t>
        </is>
      </c>
      <c r="F17" s="39" t="inlineStr">
        <is>
          <t>Contract</t>
        </is>
      </c>
      <c r="G17" s="39" t="inlineStr">
        <is>
          <t>Comm To</t>
        </is>
      </c>
      <c r="H17" s="40" t="inlineStr">
        <is>
          <t>Comm/Mo</t>
        </is>
      </c>
      <c r="I17" s="39" t="inlineStr"/>
      <c r="J17" s="39" t="inlineStr">
        <is>
          <t>Notes</t>
        </is>
      </c>
    </row>
    <row r="18" ht="18" customHeight="1">
      <c r="A18" s="64" t="inlineStr">
        <is>
          <t>Shop The Sample</t>
        </is>
      </c>
      <c r="B18" s="104" t="inlineStr">
        <is>
          <t>Lindsey</t>
        </is>
      </c>
      <c r="C18" s="43" t="inlineStr">
        <is>
          <t>$12,000</t>
        </is>
      </c>
      <c r="D18" s="44" t="inlineStr">
        <is>
          <t>$144,000</t>
        </is>
      </c>
      <c r="E18" s="71" t="inlineStr">
        <is>
          <t>Active</t>
        </is>
      </c>
      <c r="F18" s="86" t="inlineStr">
        <is>
          <t>6 then MTM</t>
        </is>
      </c>
      <c r="G18" s="95" t="inlineStr">
        <is>
          <t>Victoria</t>
        </is>
      </c>
      <c r="H18" s="96" t="inlineStr">
        <is>
          <t>$3,000</t>
        </is>
      </c>
      <c r="I18" s="113" t="inlineStr"/>
      <c r="J18" s="88" t="inlineStr">
        <is>
          <t>LA Storefront opening pitch</t>
        </is>
      </c>
    </row>
    <row r="19" ht="18" customHeight="1">
      <c r="A19" s="76" t="inlineStr">
        <is>
          <t>Regen Therapy (Sanjiv Lal)</t>
        </is>
      </c>
      <c r="B19" s="105" t="inlineStr">
        <is>
          <t>Lindsey</t>
        </is>
      </c>
      <c r="C19" s="49" t="inlineStr">
        <is>
          <t>$8,500</t>
        </is>
      </c>
      <c r="D19" s="50" t="inlineStr">
        <is>
          <t>$102,000</t>
        </is>
      </c>
      <c r="E19" s="71" t="inlineStr">
        <is>
          <t>Active</t>
        </is>
      </c>
      <c r="F19" s="90" t="inlineStr">
        <is>
          <t>3 then MTM</t>
        </is>
      </c>
      <c r="G19" s="94" t="inlineStr">
        <is>
          <t>—</t>
        </is>
      </c>
      <c r="H19" s="50" t="inlineStr">
        <is>
          <t>—</t>
        </is>
      </c>
      <c r="I19" s="113" t="inlineStr"/>
      <c r="J19" s="93" t="inlineStr"/>
    </row>
    <row r="20" ht="18" customHeight="1">
      <c r="A20" s="64" t="inlineStr">
        <is>
          <t>Dolce Glow x Sunnee BAESkin</t>
        </is>
      </c>
      <c r="B20" s="104" t="inlineStr">
        <is>
          <t>Lindsey</t>
        </is>
      </c>
      <c r="C20" s="43" t="inlineStr">
        <is>
          <t>$6,000</t>
        </is>
      </c>
      <c r="D20" s="44" t="inlineStr">
        <is>
          <t>$72,000</t>
        </is>
      </c>
      <c r="E20" s="71" t="inlineStr">
        <is>
          <t>Active</t>
        </is>
      </c>
      <c r="F20" s="86" t="inlineStr">
        <is>
          <t>8 then MTM</t>
        </is>
      </c>
      <c r="G20" s="87" t="inlineStr">
        <is>
          <t>—</t>
        </is>
      </c>
      <c r="H20" s="44" t="inlineStr">
        <is>
          <t>—</t>
        </is>
      </c>
      <c r="I20" s="113" t="inlineStr"/>
      <c r="J20" s="88" t="inlineStr">
        <is>
          <t>NYLON 100 + Allure + People</t>
        </is>
      </c>
    </row>
    <row r="21" ht="18" customHeight="1">
      <c r="A21" s="76" t="inlineStr">
        <is>
          <t>Odd Muse / Aimee Smale</t>
        </is>
      </c>
      <c r="B21" s="105" t="inlineStr">
        <is>
          <t>Lindsey</t>
        </is>
      </c>
      <c r="C21" s="49" t="inlineStr">
        <is>
          <t>$5,000</t>
        </is>
      </c>
      <c r="D21" s="50" t="inlineStr">
        <is>
          <t>$60,000</t>
        </is>
      </c>
      <c r="E21" s="71" t="inlineStr">
        <is>
          <t>Active</t>
        </is>
      </c>
      <c r="F21" s="90" t="inlineStr">
        <is>
          <t>3 months</t>
        </is>
      </c>
      <c r="G21" s="94" t="inlineStr">
        <is>
          <t>—</t>
        </is>
      </c>
      <c r="H21" s="50" t="inlineStr">
        <is>
          <t>—</t>
        </is>
      </c>
      <c r="I21" s="113" t="inlineStr"/>
      <c r="J21" s="93" t="inlineStr"/>
    </row>
    <row r="22" ht="18" customHeight="1">
      <c r="A22" s="64" t="inlineStr">
        <is>
          <t>Auri Nutrition</t>
        </is>
      </c>
      <c r="B22" s="104" t="inlineStr">
        <is>
          <t>Lindsey</t>
        </is>
      </c>
      <c r="C22" s="43" t="inlineStr">
        <is>
          <t>$4,250</t>
        </is>
      </c>
      <c r="D22" s="44" t="inlineStr">
        <is>
          <t>$51,000</t>
        </is>
      </c>
      <c r="E22" s="71" t="inlineStr">
        <is>
          <t>Active</t>
        </is>
      </c>
      <c r="F22" s="86" t="inlineStr">
        <is>
          <t>3 months</t>
        </is>
      </c>
      <c r="G22" s="95" t="inlineStr">
        <is>
          <t>Matt</t>
        </is>
      </c>
      <c r="H22" s="96" t="inlineStr">
        <is>
          <t>$750</t>
        </is>
      </c>
      <c r="I22" s="113" t="inlineStr"/>
      <c r="J22" s="88" t="inlineStr">
        <is>
          <t>Father's Day pitch</t>
        </is>
      </c>
    </row>
    <row r="23" ht="18" customHeight="1">
      <c r="A23" s="76" t="inlineStr">
        <is>
          <t>Cameron Rogers</t>
        </is>
      </c>
      <c r="B23" s="105" t="inlineStr">
        <is>
          <t>Lindsey</t>
        </is>
      </c>
      <c r="C23" s="49" t="inlineStr">
        <is>
          <t>$4,000</t>
        </is>
      </c>
      <c r="D23" s="50" t="inlineStr">
        <is>
          <t>$48,000</t>
        </is>
      </c>
      <c r="E23" s="71" t="inlineStr">
        <is>
          <t>Active</t>
        </is>
      </c>
      <c r="F23" s="90" t="inlineStr">
        <is>
          <t>5 months</t>
        </is>
      </c>
      <c r="G23" s="94" t="inlineStr">
        <is>
          <t>—</t>
        </is>
      </c>
      <c r="H23" s="50" t="inlineStr">
        <is>
          <t>—</t>
        </is>
      </c>
      <c r="I23" s="113" t="inlineStr"/>
      <c r="J23" s="93" t="inlineStr">
        <is>
          <t>Rate reduced 3/15</t>
        </is>
      </c>
    </row>
    <row r="24" ht="18" customHeight="1">
      <c r="A24" s="64" t="inlineStr">
        <is>
          <t>Dripology</t>
        </is>
      </c>
      <c r="B24" s="104" t="inlineStr">
        <is>
          <t>Lindsey</t>
        </is>
      </c>
      <c r="C24" s="164" t="inlineStr">
        <is>
          <t>Rate TBD</t>
        </is>
      </c>
      <c r="D24" s="44" t="inlineStr">
        <is>
          <t>—</t>
        </is>
      </c>
      <c r="E24" s="71" t="inlineStr">
        <is>
          <t>Active</t>
        </is>
      </c>
      <c r="F24" s="86" t="inlineStr">
        <is>
          <t>12 months</t>
        </is>
      </c>
      <c r="G24" s="87" t="inlineStr">
        <is>
          <t>—</t>
        </is>
      </c>
      <c r="H24" s="44" t="inlineStr">
        <is>
          <t>—</t>
        </is>
      </c>
      <c r="I24" s="113" t="inlineStr"/>
      <c r="J24" s="88" t="inlineStr">
        <is>
          <t>Rate TBD</t>
        </is>
      </c>
    </row>
    <row r="26" ht="20" customHeight="1">
      <c r="A26" s="107" t="inlineStr">
        <is>
          <t xml:space="preserve">  DEPARTING BRAND CLIENTS</t>
        </is>
      </c>
    </row>
    <row r="27" ht="18" customHeight="1">
      <c r="A27" s="108" t="inlineStr">
        <is>
          <t>Westlake Dermatology</t>
        </is>
      </c>
      <c r="B27" s="109" t="inlineStr">
        <is>
          <t>Lindsey</t>
        </is>
      </c>
      <c r="C27" s="110" t="inlineStr">
        <is>
          <t>$7,500</t>
        </is>
      </c>
      <c r="D27" s="111" t="inlineStr">
        <is>
          <t>$90,000</t>
        </is>
      </c>
      <c r="E27" s="41" t="inlineStr">
        <is>
          <t>Departing</t>
        </is>
      </c>
      <c r="F27" s="112" t="inlineStr">
        <is>
          <t>MTM</t>
        </is>
      </c>
      <c r="G27" s="113" t="inlineStr"/>
      <c r="H27" s="113" t="inlineStr"/>
      <c r="I27" s="113" t="inlineStr"/>
      <c r="J27" s="114" t="inlineStr">
        <is>
          <t>Final 6/18/2026</t>
        </is>
      </c>
    </row>
    <row r="28" ht="18" customHeight="1">
      <c r="A28" s="108" t="inlineStr">
        <is>
          <t>Osier</t>
        </is>
      </c>
      <c r="B28" s="109" t="inlineStr">
        <is>
          <t>Lindsey</t>
        </is>
      </c>
      <c r="C28" s="110" t="inlineStr">
        <is>
          <t>$4,275</t>
        </is>
      </c>
      <c r="D28" s="111" t="inlineStr">
        <is>
          <t>$51,300</t>
        </is>
      </c>
      <c r="E28" s="41" t="inlineStr">
        <is>
          <t>Departing</t>
        </is>
      </c>
      <c r="F28" s="112" t="inlineStr">
        <is>
          <t>6 months</t>
        </is>
      </c>
      <c r="G28" s="113" t="inlineStr"/>
      <c r="H28" s="113" t="inlineStr"/>
      <c r="I28" s="113" t="inlineStr"/>
      <c r="J28" s="114" t="inlineStr">
        <is>
          <t>Final 6/11/2026</t>
        </is>
      </c>
    </row>
    <row r="29" ht="18" customHeight="1">
      <c r="A29" s="76" t="inlineStr">
        <is>
          <t>Purr Studio / Madison Woolley</t>
        </is>
      </c>
      <c r="B29" s="52" t="inlineStr">
        <is>
          <t>Lindsey</t>
        </is>
      </c>
      <c r="C29" s="115" t="inlineStr">
        <is>
          <t>$8,000</t>
        </is>
      </c>
      <c r="D29" s="50" t="inlineStr">
        <is>
          <t>$96,000</t>
        </is>
      </c>
      <c r="E29" s="116" t="inlineStr">
        <is>
          <t>Departed</t>
        </is>
      </c>
      <c r="F29" s="117" t="inlineStr">
        <is>
          <t>6 then MTM</t>
        </is>
      </c>
      <c r="G29" s="113" t="inlineStr"/>
      <c r="H29" s="113" t="inlineStr"/>
      <c r="I29" s="113" t="inlineStr"/>
      <c r="J29" s="74" t="inlineStr">
        <is>
          <t>Departed 5/28</t>
        </is>
      </c>
    </row>
    <row r="31" ht="20" customHeight="1">
      <c r="A31" s="165" t="inlineStr">
        <is>
          <t xml:space="preserve">  BRANDS TEAM PAYROLL</t>
        </is>
      </c>
    </row>
    <row r="32" ht="18" customHeight="1">
      <c r="A32" s="39" t="inlineStr">
        <is>
          <t>Name</t>
        </is>
      </c>
      <c r="B32" s="39" t="inlineStr">
        <is>
          <t>Title</t>
        </is>
      </c>
      <c r="C32" s="40" t="inlineStr">
        <is>
          <t>Annual Salary</t>
        </is>
      </c>
      <c r="D32" s="40" t="inlineStr">
        <is>
          <t>Cost/Month</t>
        </is>
      </c>
      <c r="E32" s="39" t="inlineStr"/>
      <c r="F32" s="39" t="inlineStr"/>
      <c r="G32" s="39" t="inlineStr"/>
      <c r="H32" s="39" t="inlineStr"/>
      <c r="I32" s="39" t="inlineStr"/>
      <c r="J32" s="39" t="inlineStr">
        <is>
          <t>Notes</t>
        </is>
      </c>
    </row>
    <row r="33" ht="18" customHeight="1">
      <c r="A33" s="64" t="inlineStr">
        <is>
          <t>Anne Leopard</t>
        </is>
      </c>
      <c r="B33" s="11" t="inlineStr">
        <is>
          <t>Director of PR &amp; Strategy</t>
        </is>
      </c>
      <c r="C33" s="44" t="inlineStr">
        <is>
          <t>$115,000</t>
        </is>
      </c>
      <c r="D33" s="43" t="inlineStr">
        <is>
          <t>$9,583</t>
        </is>
      </c>
      <c r="E33" s="37" t="inlineStr"/>
      <c r="F33" s="37" t="inlineStr"/>
      <c r="G33" s="37" t="inlineStr"/>
      <c r="H33" s="37" t="inlineStr"/>
      <c r="I33" s="37" t="inlineStr"/>
      <c r="J33" s="69" t="inlineStr">
        <is>
          <t>4/20/2026</t>
        </is>
      </c>
    </row>
    <row r="34" ht="18" customHeight="1">
      <c r="A34" s="76" t="inlineStr">
        <is>
          <t>Lindsey LeDoux</t>
        </is>
      </c>
      <c r="B34" s="52" t="inlineStr">
        <is>
          <t>Sr. Account Executive</t>
        </is>
      </c>
      <c r="C34" s="50" t="inlineStr">
        <is>
          <t>$85,000</t>
        </is>
      </c>
      <c r="D34" s="49" t="inlineStr">
        <is>
          <t>$7,083</t>
        </is>
      </c>
      <c r="E34" s="166" t="inlineStr"/>
      <c r="F34" s="166" t="inlineStr"/>
      <c r="G34" s="166" t="inlineStr"/>
      <c r="H34" s="166" t="inlineStr"/>
      <c r="I34" s="166" t="inlineStr"/>
      <c r="J34" s="74" t="inlineStr">
        <is>
          <t>5/23/2022</t>
        </is>
      </c>
    </row>
    <row r="35" ht="18" customHeight="1">
      <c r="A35" s="64" t="inlineStr">
        <is>
          <t>Annabel Stolar</t>
        </is>
      </c>
      <c r="B35" s="11" t="inlineStr">
        <is>
          <t>Jr. Account Executive</t>
        </is>
      </c>
      <c r="C35" s="44" t="inlineStr">
        <is>
          <t>$58,240</t>
        </is>
      </c>
      <c r="D35" s="43" t="inlineStr">
        <is>
          <t>$4,853</t>
        </is>
      </c>
      <c r="E35" s="37" t="inlineStr"/>
      <c r="F35" s="37" t="inlineStr"/>
      <c r="G35" s="37" t="inlineStr"/>
      <c r="H35" s="37" t="inlineStr"/>
      <c r="I35" s="37" t="inlineStr"/>
      <c r="J35" s="69" t="inlineStr">
        <is>
          <t>10/30/2023</t>
        </is>
      </c>
    </row>
    <row r="36" ht="18" customHeight="1">
      <c r="A36" s="76" t="inlineStr">
        <is>
          <t>Madalynn Lewis</t>
        </is>
      </c>
      <c r="B36" s="52" t="inlineStr">
        <is>
          <t>Account Coordinator</t>
        </is>
      </c>
      <c r="C36" s="50" t="inlineStr">
        <is>
          <t>$52,000</t>
        </is>
      </c>
      <c r="D36" s="49" t="inlineStr">
        <is>
          <t>$4,333</t>
        </is>
      </c>
      <c r="E36" s="166" t="inlineStr"/>
      <c r="F36" s="166" t="inlineStr"/>
      <c r="G36" s="166" t="inlineStr"/>
      <c r="H36" s="166" t="inlineStr"/>
      <c r="I36" s="166" t="inlineStr"/>
      <c r="J36" s="74" t="inlineStr">
        <is>
          <t>2/9/2026</t>
        </is>
      </c>
    </row>
    <row r="37" ht="18" customHeight="1">
      <c r="A37" s="64" t="inlineStr">
        <is>
          <t>Naomi Rothschild</t>
        </is>
      </c>
      <c r="B37" s="11" t="inlineStr">
        <is>
          <t>Account Coordinator</t>
        </is>
      </c>
      <c r="C37" s="44" t="inlineStr">
        <is>
          <t>$52,000</t>
        </is>
      </c>
      <c r="D37" s="43" t="inlineStr">
        <is>
          <t>$4,333</t>
        </is>
      </c>
      <c r="E37" s="37" t="inlineStr"/>
      <c r="F37" s="37" t="inlineStr"/>
      <c r="G37" s="37" t="inlineStr"/>
      <c r="H37" s="37" t="inlineStr"/>
      <c r="I37" s="37" t="inlineStr"/>
      <c r="J37" s="69" t="inlineStr">
        <is>
          <t>4/14/2025</t>
        </is>
      </c>
    </row>
    <row r="38" ht="20" customHeight="1">
      <c r="A38" s="56" t="inlineStr">
        <is>
          <t>TOTAL BRANDS PAYROLL</t>
        </is>
      </c>
      <c r="B38" s="36" t="inlineStr"/>
      <c r="C38" s="58" t="inlineStr">
        <is>
          <t>$346,020</t>
        </is>
      </c>
      <c r="D38" s="128" t="inlineStr">
        <is>
          <t>$30,187</t>
        </is>
      </c>
    </row>
  </sheetData>
  <mergeCells count="32">
    <mergeCell ref="C6:D6"/>
    <mergeCell ref="I6:J6"/>
    <mergeCell ref="C5:D5"/>
    <mergeCell ref="E5:F5"/>
    <mergeCell ref="G8:H8"/>
    <mergeCell ref="A10:J10"/>
    <mergeCell ref="E8:F8"/>
    <mergeCell ref="A6:B6"/>
    <mergeCell ref="C4:D4"/>
    <mergeCell ref="E4:F4"/>
    <mergeCell ref="A31:J31"/>
    <mergeCell ref="A7:B7"/>
    <mergeCell ref="G7:H7"/>
    <mergeCell ref="I7:J7"/>
    <mergeCell ref="G6:H6"/>
    <mergeCell ref="A1:J1"/>
    <mergeCell ref="E6:F6"/>
    <mergeCell ref="A5:B5"/>
    <mergeCell ref="G5:H5"/>
    <mergeCell ref="I5:J5"/>
    <mergeCell ref="I8:J8"/>
    <mergeCell ref="A16:J16"/>
    <mergeCell ref="A8:B8"/>
    <mergeCell ref="C8:D8"/>
    <mergeCell ref="A4:B4"/>
    <mergeCell ref="G4:H4"/>
    <mergeCell ref="I4:J4"/>
    <mergeCell ref="C7:D7"/>
    <mergeCell ref="E7:F7"/>
    <mergeCell ref="A3:J3"/>
    <mergeCell ref="A26:J26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474F"/>
    <outlinePr summaryBelow="1" summaryRight="1"/>
    <pageSetUpPr/>
  </sheetPr>
  <dimension ref="A1:J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6" customWidth="1" min="8" max="8"/>
    <col width="14" customWidth="1" min="9" max="9"/>
    <col width="30" customWidth="1" min="10" max="10"/>
  </cols>
  <sheetData>
    <row r="1" ht="40" customHeight="1">
      <c r="A1" s="1" t="inlineStr">
        <is>
          <t xml:space="preserve">  Compensation &amp; Raise Schedule</t>
        </is>
      </c>
    </row>
    <row r="2" ht="18" customHeight="1">
      <c r="A2" s="2" t="inlineStr">
        <is>
          <t xml:space="preserve">  All salaries, raise timeline, and projected payroll impact  ·  Jun 3, 2026  ·  ⚠ Confidential — Haley / Emily only</t>
        </is>
      </c>
    </row>
    <row r="3" ht="6" customHeight="1">
      <c r="A3" s="3" t="inlineStr"/>
    </row>
    <row r="4" ht="20" customHeight="1">
      <c r="A4" s="4" t="inlineStr">
        <is>
          <t xml:space="preserve">  PAYROLL SUMMARY BY DEPARTMENT</t>
        </is>
      </c>
    </row>
    <row r="5" ht="18" customHeight="1">
      <c r="A5" s="39" t="inlineStr">
        <is>
          <t>Department</t>
        </is>
      </c>
      <c r="B5" s="40" t="inlineStr">
        <is>
          <t>Headcount</t>
        </is>
      </c>
      <c r="C5" s="40" t="inlineStr">
        <is>
          <t>Annual Payroll</t>
        </is>
      </c>
      <c r="D5" s="40" t="inlineStr">
        <is>
          <t>Monthly Cost</t>
        </is>
      </c>
      <c r="E5" s="40" t="inlineStr">
        <is>
          <t>% of Total Payroll</t>
        </is>
      </c>
      <c r="F5" s="39" t="inlineStr"/>
      <c r="G5" s="39" t="inlineStr"/>
      <c r="H5" s="39" t="inlineStr"/>
      <c r="I5" s="39" t="inlineStr"/>
      <c r="J5" s="39" t="inlineStr"/>
    </row>
    <row r="6" ht="18" customHeight="1">
      <c r="A6" s="64" t="inlineStr">
        <is>
          <t>USA Talent</t>
        </is>
      </c>
      <c r="B6" s="80" t="inlineStr">
        <is>
          <t>10</t>
        </is>
      </c>
      <c r="C6" s="44" t="inlineStr">
        <is>
          <t>$659,052</t>
        </is>
      </c>
      <c r="D6" s="43" t="inlineStr">
        <is>
          <t>$54,921</t>
        </is>
      </c>
      <c r="E6" s="80" t="inlineStr">
        <is>
          <t>45.2%</t>
        </is>
      </c>
    </row>
    <row r="7" ht="18" customHeight="1">
      <c r="A7" s="76" t="inlineStr">
        <is>
          <t>USA Brands</t>
        </is>
      </c>
      <c r="B7" s="81" t="inlineStr">
        <is>
          <t>5</t>
        </is>
      </c>
      <c r="C7" s="50" t="inlineStr">
        <is>
          <t>$346,020</t>
        </is>
      </c>
      <c r="D7" s="49" t="inlineStr">
        <is>
          <t>$30,187</t>
        </is>
      </c>
      <c r="E7" s="81" t="inlineStr">
        <is>
          <t>24.9%</t>
        </is>
      </c>
    </row>
    <row r="8" ht="18" customHeight="1">
      <c r="A8" s="64" t="inlineStr">
        <is>
          <t>USA Socials</t>
        </is>
      </c>
      <c r="B8" s="80" t="inlineStr">
        <is>
          <t>1</t>
        </is>
      </c>
      <c r="C8" s="44" t="inlineStr">
        <is>
          <t>$18,000</t>
        </is>
      </c>
      <c r="D8" s="43" t="inlineStr">
        <is>
          <t>$1,500</t>
        </is>
      </c>
      <c r="E8" s="80" t="inlineStr">
        <is>
          <t>1.2%</t>
        </is>
      </c>
    </row>
    <row r="9" ht="18" customHeight="1">
      <c r="A9" s="76" t="inlineStr">
        <is>
          <t>USA Operations</t>
        </is>
      </c>
      <c r="B9" s="81" t="inlineStr">
        <is>
          <t>5</t>
        </is>
      </c>
      <c r="C9" s="50" t="inlineStr">
        <is>
          <t>$417,720</t>
        </is>
      </c>
      <c r="D9" s="49" t="inlineStr">
        <is>
          <t>$34,810</t>
        </is>
      </c>
      <c r="E9" s="81" t="inlineStr">
        <is>
          <t>28.7%</t>
        </is>
      </c>
    </row>
    <row r="10" ht="20" customHeight="1">
      <c r="A10" s="56" t="inlineStr">
        <is>
          <t>GRAND TOTAL</t>
        </is>
      </c>
      <c r="B10" s="59" t="inlineStr">
        <is>
          <t>21</t>
        </is>
      </c>
      <c r="C10" s="57" t="inlineStr">
        <is>
          <t>$1,440,792</t>
        </is>
      </c>
      <c r="D10" s="57" t="inlineStr">
        <is>
          <t>$121,418</t>
        </is>
      </c>
      <c r="E10" s="59" t="inlineStr">
        <is>
          <t>100%</t>
        </is>
      </c>
      <c r="F10" s="59" t="inlineStr"/>
      <c r="G10" s="59" t="inlineStr"/>
      <c r="H10" s="59" t="inlineStr"/>
      <c r="I10" s="59" t="inlineStr"/>
      <c r="J10" s="59" t="inlineStr"/>
    </row>
    <row r="12" ht="20" customHeight="1">
      <c r="A12" s="4" t="inlineStr">
        <is>
          <t xml:space="preserve">  ALL EMPLOYEES — CURRENT COMPENSATION</t>
        </is>
      </c>
    </row>
    <row r="13" ht="18" customHeight="1">
      <c r="A13" s="39" t="inlineStr">
        <is>
          <t>Name</t>
        </is>
      </c>
      <c r="B13" s="39" t="inlineStr">
        <is>
          <t>Dept</t>
        </is>
      </c>
      <c r="C13" s="39" t="inlineStr">
        <is>
          <t>Title</t>
        </is>
      </c>
      <c r="D13" s="39" t="inlineStr">
        <is>
          <t>Type</t>
        </is>
      </c>
      <c r="E13" s="40" t="inlineStr">
        <is>
          <t>Annual Salary</t>
        </is>
      </c>
      <c r="F13" s="40" t="inlineStr">
        <is>
          <t>Monthly Cost</t>
        </is>
      </c>
      <c r="G13" s="39" t="inlineStr">
        <is>
          <t>Hire Date</t>
        </is>
      </c>
      <c r="H13" s="39" t="inlineStr">
        <is>
          <t>Pod / Team</t>
        </is>
      </c>
      <c r="I13" s="39" t="inlineStr"/>
      <c r="J13" s="39" t="inlineStr"/>
    </row>
    <row r="14" ht="17" customHeight="1">
      <c r="A14" s="64" t="inlineStr">
        <is>
          <t>Julia Matina</t>
        </is>
      </c>
      <c r="B14" s="11" t="inlineStr">
        <is>
          <t>Talent</t>
        </is>
      </c>
      <c r="C14" s="167" t="inlineStr">
        <is>
          <t>Sr. Account Executive</t>
        </is>
      </c>
      <c r="D14" s="168" t="inlineStr">
        <is>
          <t>FT</t>
        </is>
      </c>
      <c r="E14" s="45" t="inlineStr">
        <is>
          <t>$90,000</t>
        </is>
      </c>
      <c r="F14" s="43" t="inlineStr">
        <is>
          <t>$7,500</t>
        </is>
      </c>
      <c r="G14" s="167" t="inlineStr">
        <is>
          <t>8/23/2021</t>
        </is>
      </c>
      <c r="H14" s="169" t="inlineStr">
        <is>
          <t>Entertainment</t>
        </is>
      </c>
    </row>
    <row r="15" ht="17" customHeight="1">
      <c r="A15" s="76" t="inlineStr">
        <is>
          <t>Alexis Papadopoulos</t>
        </is>
      </c>
      <c r="B15" s="52" t="inlineStr">
        <is>
          <t>Talent</t>
        </is>
      </c>
      <c r="C15" s="117" t="inlineStr">
        <is>
          <t>Sr. Account Executive</t>
        </is>
      </c>
      <c r="D15" s="170" t="inlineStr">
        <is>
          <t>FT</t>
        </is>
      </c>
      <c r="E15" s="53" t="inlineStr">
        <is>
          <t>$80,000</t>
        </is>
      </c>
      <c r="F15" s="49" t="inlineStr">
        <is>
          <t>$6,667</t>
        </is>
      </c>
      <c r="G15" s="117" t="inlineStr">
        <is>
          <t>9/16/2024</t>
        </is>
      </c>
      <c r="H15" s="171" t="inlineStr">
        <is>
          <t>Beauty &amp; Fashion</t>
        </is>
      </c>
    </row>
    <row r="16" ht="17" customHeight="1">
      <c r="A16" s="64" t="inlineStr">
        <is>
          <t>Jenna Wilen</t>
        </is>
      </c>
      <c r="B16" s="11" t="inlineStr">
        <is>
          <t>Talent</t>
        </is>
      </c>
      <c r="C16" s="167" t="inlineStr">
        <is>
          <t>Account Executive</t>
        </is>
      </c>
      <c r="D16" s="168" t="inlineStr">
        <is>
          <t>FT</t>
        </is>
      </c>
      <c r="E16" s="45" t="inlineStr">
        <is>
          <t>$75,000</t>
        </is>
      </c>
      <c r="F16" s="43" t="inlineStr">
        <is>
          <t>$6,250</t>
        </is>
      </c>
      <c r="G16" s="167" t="inlineStr">
        <is>
          <t>6/15/2025</t>
        </is>
      </c>
      <c r="H16" s="169" t="inlineStr">
        <is>
          <t>Creator</t>
        </is>
      </c>
    </row>
    <row r="17" ht="17" customHeight="1">
      <c r="A17" s="76" t="inlineStr">
        <is>
          <t>Hannah Fitzpatrick</t>
        </is>
      </c>
      <c r="B17" s="52" t="inlineStr">
        <is>
          <t>Talent</t>
        </is>
      </c>
      <c r="C17" s="117" t="inlineStr">
        <is>
          <t>Jr. Account Executive</t>
        </is>
      </c>
      <c r="D17" s="170" t="inlineStr">
        <is>
          <t>FT</t>
        </is>
      </c>
      <c r="E17" s="53" t="inlineStr">
        <is>
          <t>$58,240</t>
        </is>
      </c>
      <c r="F17" s="49" t="inlineStr">
        <is>
          <t>$4,853</t>
        </is>
      </c>
      <c r="G17" s="117" t="inlineStr">
        <is>
          <t>—</t>
        </is>
      </c>
      <c r="H17" s="171" t="inlineStr">
        <is>
          <t>Creator</t>
        </is>
      </c>
    </row>
    <row r="18" ht="17" customHeight="1">
      <c r="A18" s="64" t="inlineStr">
        <is>
          <t>Sophia Ribner</t>
        </is>
      </c>
      <c r="B18" s="11" t="inlineStr">
        <is>
          <t>Talent</t>
        </is>
      </c>
      <c r="C18" s="167" t="inlineStr">
        <is>
          <t>Account Executive</t>
        </is>
      </c>
      <c r="D18" s="168" t="inlineStr">
        <is>
          <t>FT</t>
        </is>
      </c>
      <c r="E18" s="45" t="inlineStr">
        <is>
          <t>$69,500</t>
        </is>
      </c>
      <c r="F18" s="43" t="inlineStr">
        <is>
          <t>$5,792</t>
        </is>
      </c>
      <c r="G18" s="167" t="inlineStr">
        <is>
          <t>6/18/2024</t>
        </is>
      </c>
      <c r="H18" s="169" t="inlineStr">
        <is>
          <t>Athlete &amp; Fitness</t>
        </is>
      </c>
    </row>
    <row r="19" ht="17" customHeight="1">
      <c r="A19" s="76" t="inlineStr">
        <is>
          <t>Kendall Singer</t>
        </is>
      </c>
      <c r="B19" s="52" t="inlineStr">
        <is>
          <t>Talent</t>
        </is>
      </c>
      <c r="C19" s="117" t="inlineStr">
        <is>
          <t>Jr. Account Executive</t>
        </is>
      </c>
      <c r="D19" s="170" t="inlineStr">
        <is>
          <t>FT</t>
        </is>
      </c>
      <c r="E19" s="53" t="inlineStr">
        <is>
          <t>$58,240</t>
        </is>
      </c>
      <c r="F19" s="49" t="inlineStr">
        <is>
          <t>$4,853</t>
        </is>
      </c>
      <c r="G19" s="117" t="inlineStr">
        <is>
          <t>11/6/2024</t>
        </is>
      </c>
      <c r="H19" s="171" t="inlineStr">
        <is>
          <t>Beauty &amp; Fashion</t>
        </is>
      </c>
    </row>
    <row r="20" ht="17" customHeight="1">
      <c r="A20" s="64" t="inlineStr">
        <is>
          <t>Jackson Goldman</t>
        </is>
      </c>
      <c r="B20" s="11" t="inlineStr">
        <is>
          <t>Talent</t>
        </is>
      </c>
      <c r="C20" s="167" t="inlineStr">
        <is>
          <t>Account Coordinator</t>
        </is>
      </c>
      <c r="D20" s="168" t="inlineStr">
        <is>
          <t>FT</t>
        </is>
      </c>
      <c r="E20" s="45" t="inlineStr">
        <is>
          <t>$52,000</t>
        </is>
      </c>
      <c r="F20" s="43" t="inlineStr">
        <is>
          <t>$4,333</t>
        </is>
      </c>
      <c r="G20" s="167" t="inlineStr">
        <is>
          <t>4/6/2026</t>
        </is>
      </c>
      <c r="H20" s="169" t="inlineStr">
        <is>
          <t>Athlete &amp; Fitness / B&amp;F</t>
        </is>
      </c>
    </row>
    <row r="21" ht="17" customHeight="1">
      <c r="A21" s="76" t="inlineStr">
        <is>
          <t>Sophie Strasser</t>
        </is>
      </c>
      <c r="B21" s="52" t="inlineStr">
        <is>
          <t>Talent</t>
        </is>
      </c>
      <c r="C21" s="117" t="inlineStr">
        <is>
          <t>Account Coordinator</t>
        </is>
      </c>
      <c r="D21" s="170" t="inlineStr">
        <is>
          <t>FT</t>
        </is>
      </c>
      <c r="E21" s="53" t="inlineStr">
        <is>
          <t>$52,000</t>
        </is>
      </c>
      <c r="F21" s="49" t="inlineStr">
        <is>
          <t>$4,333</t>
        </is>
      </c>
      <c r="G21" s="117" t="inlineStr">
        <is>
          <t>8/11/2025</t>
        </is>
      </c>
      <c r="H21" s="171" t="inlineStr">
        <is>
          <t>Creator / Entertainment</t>
        </is>
      </c>
    </row>
    <row r="22" ht="17" customHeight="1">
      <c r="A22" s="64" t="inlineStr">
        <is>
          <t>Caitlyn Fruehauf</t>
        </is>
      </c>
      <c r="B22" s="11" t="inlineStr">
        <is>
          <t>Talent</t>
        </is>
      </c>
      <c r="C22" s="167" t="inlineStr">
        <is>
          <t>Events Manager</t>
        </is>
      </c>
      <c r="D22" s="168" t="inlineStr">
        <is>
          <t>FT</t>
        </is>
      </c>
      <c r="E22" s="45" t="inlineStr">
        <is>
          <t>$72,072</t>
        </is>
      </c>
      <c r="F22" s="43" t="inlineStr">
        <is>
          <t>$6,006</t>
        </is>
      </c>
      <c r="G22" s="167" t="inlineStr">
        <is>
          <t>8/15/2023</t>
        </is>
      </c>
      <c r="H22" s="169" t="inlineStr">
        <is>
          <t>Shared (25% each pod)</t>
        </is>
      </c>
    </row>
    <row r="23" ht="17" customHeight="1">
      <c r="A23" s="76" t="inlineStr">
        <is>
          <t>Valeria Flores</t>
        </is>
      </c>
      <c r="B23" s="52" t="inlineStr">
        <is>
          <t>Talent</t>
        </is>
      </c>
      <c r="C23" s="117" t="inlineStr">
        <is>
          <t>Events &amp; Social Media</t>
        </is>
      </c>
      <c r="D23" s="170" t="inlineStr">
        <is>
          <t>FT</t>
        </is>
      </c>
      <c r="E23" s="53" t="inlineStr">
        <is>
          <t>$52,000</t>
        </is>
      </c>
      <c r="F23" s="49" t="inlineStr">
        <is>
          <t>$4,333</t>
        </is>
      </c>
      <c r="G23" s="117" t="inlineStr">
        <is>
          <t>9/22/2025</t>
        </is>
      </c>
      <c r="H23" s="171" t="inlineStr">
        <is>
          <t>Shared (17.5% each pod)</t>
        </is>
      </c>
    </row>
    <row r="24" ht="17" customHeight="1">
      <c r="A24" s="64" t="inlineStr">
        <is>
          <t>Anne Leopard</t>
        </is>
      </c>
      <c r="B24" s="11" t="inlineStr">
        <is>
          <t>Brands</t>
        </is>
      </c>
      <c r="C24" s="167" t="inlineStr">
        <is>
          <t>Director of PR &amp; Strategy</t>
        </is>
      </c>
      <c r="D24" s="168" t="inlineStr">
        <is>
          <t>FT</t>
        </is>
      </c>
      <c r="E24" s="45" t="inlineStr">
        <is>
          <t>$115,000</t>
        </is>
      </c>
      <c r="F24" s="43" t="inlineStr">
        <is>
          <t>$9,583</t>
        </is>
      </c>
      <c r="G24" s="167" t="inlineStr">
        <is>
          <t>4/20/2026</t>
        </is>
      </c>
      <c r="H24" s="169" t="inlineStr">
        <is>
          <t>Brands</t>
        </is>
      </c>
    </row>
    <row r="25" ht="17" customHeight="1">
      <c r="A25" s="76" t="inlineStr">
        <is>
          <t>Lindsey LeDoux</t>
        </is>
      </c>
      <c r="B25" s="52" t="inlineStr">
        <is>
          <t>Brands</t>
        </is>
      </c>
      <c r="C25" s="117" t="inlineStr">
        <is>
          <t>Sr. Account Executive</t>
        </is>
      </c>
      <c r="D25" s="170" t="inlineStr">
        <is>
          <t>FT</t>
        </is>
      </c>
      <c r="E25" s="53" t="inlineStr">
        <is>
          <t>$85,000</t>
        </is>
      </c>
      <c r="F25" s="49" t="inlineStr">
        <is>
          <t>$7,083</t>
        </is>
      </c>
      <c r="G25" s="117" t="inlineStr">
        <is>
          <t>5/23/2022</t>
        </is>
      </c>
      <c r="H25" s="171" t="inlineStr">
        <is>
          <t>Brands</t>
        </is>
      </c>
    </row>
    <row r="26" ht="17" customHeight="1">
      <c r="A26" s="64" t="inlineStr">
        <is>
          <t>Annabel Stolar</t>
        </is>
      </c>
      <c r="B26" s="11" t="inlineStr">
        <is>
          <t>Brands</t>
        </is>
      </c>
      <c r="C26" s="167" t="inlineStr">
        <is>
          <t>Jr. Account Executive</t>
        </is>
      </c>
      <c r="D26" s="168" t="inlineStr">
        <is>
          <t>FT</t>
        </is>
      </c>
      <c r="E26" s="45" t="inlineStr">
        <is>
          <t>$58,240</t>
        </is>
      </c>
      <c r="F26" s="43" t="inlineStr">
        <is>
          <t>$4,853</t>
        </is>
      </c>
      <c r="G26" s="167" t="inlineStr">
        <is>
          <t>10/30/2023</t>
        </is>
      </c>
      <c r="H26" s="169" t="inlineStr">
        <is>
          <t>Brands</t>
        </is>
      </c>
    </row>
    <row r="27" ht="17" customHeight="1">
      <c r="A27" s="76" t="inlineStr">
        <is>
          <t>Madalynn Lewis</t>
        </is>
      </c>
      <c r="B27" s="52" t="inlineStr">
        <is>
          <t>Brands</t>
        </is>
      </c>
      <c r="C27" s="117" t="inlineStr">
        <is>
          <t>Account Coordinator</t>
        </is>
      </c>
      <c r="D27" s="170" t="inlineStr">
        <is>
          <t>FT</t>
        </is>
      </c>
      <c r="E27" s="53" t="inlineStr">
        <is>
          <t>$52,000</t>
        </is>
      </c>
      <c r="F27" s="49" t="inlineStr">
        <is>
          <t>$4,333</t>
        </is>
      </c>
      <c r="G27" s="117" t="inlineStr">
        <is>
          <t>2/9/2026</t>
        </is>
      </c>
      <c r="H27" s="171" t="inlineStr">
        <is>
          <t>Brands</t>
        </is>
      </c>
    </row>
    <row r="28" ht="17" customHeight="1">
      <c r="A28" s="64" t="inlineStr">
        <is>
          <t>Naomi Rothschild</t>
        </is>
      </c>
      <c r="B28" s="11" t="inlineStr">
        <is>
          <t>Brands</t>
        </is>
      </c>
      <c r="C28" s="167" t="inlineStr">
        <is>
          <t>Account Coordinator</t>
        </is>
      </c>
      <c r="D28" s="168" t="inlineStr">
        <is>
          <t>FT</t>
        </is>
      </c>
      <c r="E28" s="45" t="inlineStr">
        <is>
          <t>$52,000</t>
        </is>
      </c>
      <c r="F28" s="43" t="inlineStr">
        <is>
          <t>$4,333</t>
        </is>
      </c>
      <c r="G28" s="167" t="inlineStr">
        <is>
          <t>4/14/2025</t>
        </is>
      </c>
      <c r="H28" s="169" t="inlineStr">
        <is>
          <t>Brands</t>
        </is>
      </c>
    </row>
    <row r="29" ht="17" customHeight="1">
      <c r="A29" s="64" t="inlineStr">
        <is>
          <t>Jana Rosenberg</t>
        </is>
      </c>
      <c r="B29" s="11" t="inlineStr">
        <is>
          <t>Socials</t>
        </is>
      </c>
      <c r="C29" s="167" t="inlineStr">
        <is>
          <t>Social Media Lead</t>
        </is>
      </c>
      <c r="D29" s="168" t="inlineStr">
        <is>
          <t>PT</t>
        </is>
      </c>
      <c r="E29" s="45" t="inlineStr">
        <is>
          <t>$18,000</t>
        </is>
      </c>
      <c r="F29" s="43" t="inlineStr">
        <is>
          <t>$1,500</t>
        </is>
      </c>
      <c r="G29" s="167" t="inlineStr">
        <is>
          <t>3/10/2025</t>
        </is>
      </c>
      <c r="H29" s="169" t="inlineStr">
        <is>
          <t>Socials</t>
        </is>
      </c>
    </row>
    <row r="30" ht="17" customHeight="1">
      <c r="A30" s="64" t="inlineStr">
        <is>
          <t>Emily Marcus</t>
        </is>
      </c>
      <c r="B30" s="11" t="inlineStr">
        <is>
          <t>Operations</t>
        </is>
      </c>
      <c r="C30" s="167" t="inlineStr">
        <is>
          <t>CEO &amp; Founder</t>
        </is>
      </c>
      <c r="D30" s="168" t="inlineStr">
        <is>
          <t>FT</t>
        </is>
      </c>
      <c r="E30" s="45" t="inlineStr">
        <is>
          <t>$70,000</t>
        </is>
      </c>
      <c r="F30" s="43" t="inlineStr">
        <is>
          <t>$5,833</t>
        </is>
      </c>
      <c r="G30" s="167" t="inlineStr">
        <is>
          <t>—</t>
        </is>
      </c>
      <c r="H30" s="169" t="inlineStr">
        <is>
          <t>Operations</t>
        </is>
      </c>
    </row>
    <row r="31" ht="17" customHeight="1">
      <c r="A31" s="76" t="inlineStr">
        <is>
          <t>Haley Josephson</t>
        </is>
      </c>
      <c r="B31" s="52" t="inlineStr">
        <is>
          <t>Operations</t>
        </is>
      </c>
      <c r="C31" s="117" t="inlineStr">
        <is>
          <t>Director of Operations</t>
        </is>
      </c>
      <c r="D31" s="170" t="inlineStr">
        <is>
          <t>FT</t>
        </is>
      </c>
      <c r="E31" s="53" t="inlineStr">
        <is>
          <t>$120,000</t>
        </is>
      </c>
      <c r="F31" s="49" t="inlineStr">
        <is>
          <t>$10,000</t>
        </is>
      </c>
      <c r="G31" s="117" t="inlineStr">
        <is>
          <t>9/3/2020</t>
        </is>
      </c>
      <c r="H31" s="171" t="inlineStr">
        <is>
          <t>Operations</t>
        </is>
      </c>
    </row>
    <row r="32" ht="17" customHeight="1">
      <c r="A32" s="64" t="inlineStr">
        <is>
          <t>Anita Bachkabakian</t>
        </is>
      </c>
      <c r="B32" s="11" t="inlineStr">
        <is>
          <t>Operations</t>
        </is>
      </c>
      <c r="C32" s="167" t="inlineStr">
        <is>
          <t>Operations Manager</t>
        </is>
      </c>
      <c r="D32" s="168" t="inlineStr">
        <is>
          <t>FT</t>
        </is>
      </c>
      <c r="E32" s="45" t="inlineStr">
        <is>
          <t>$97,000</t>
        </is>
      </c>
      <c r="F32" s="43" t="inlineStr">
        <is>
          <t>$8,083</t>
        </is>
      </c>
      <c r="G32" s="167" t="inlineStr">
        <is>
          <t>10/18/2021</t>
        </is>
      </c>
      <c r="H32" s="169" t="inlineStr">
        <is>
          <t>Operations</t>
        </is>
      </c>
    </row>
    <row r="33" ht="17" customHeight="1">
      <c r="A33" s="76" t="inlineStr">
        <is>
          <t>Nicole Pila</t>
        </is>
      </c>
      <c r="B33" s="52" t="inlineStr">
        <is>
          <t>Operations</t>
        </is>
      </c>
      <c r="C33" s="117" t="inlineStr">
        <is>
          <t>BD Lead</t>
        </is>
      </c>
      <c r="D33" s="170" t="inlineStr">
        <is>
          <t>FT</t>
        </is>
      </c>
      <c r="E33" s="53" t="inlineStr">
        <is>
          <t>$75,600</t>
        </is>
      </c>
      <c r="F33" s="49" t="inlineStr">
        <is>
          <t>$6,300</t>
        </is>
      </c>
      <c r="G33" s="117" t="inlineStr">
        <is>
          <t>8/5/2024</t>
        </is>
      </c>
      <c r="H33" s="171" t="inlineStr">
        <is>
          <t>Operations</t>
        </is>
      </c>
    </row>
    <row r="34" ht="17" customHeight="1">
      <c r="A34" s="64" t="inlineStr">
        <is>
          <t>Tobey Lynn Reyes</t>
        </is>
      </c>
      <c r="B34" s="11" t="inlineStr">
        <is>
          <t>Operations</t>
        </is>
      </c>
      <c r="C34" s="167" t="inlineStr">
        <is>
          <t>Personal Assistant</t>
        </is>
      </c>
      <c r="D34" s="168" t="inlineStr">
        <is>
          <t>PT</t>
        </is>
      </c>
      <c r="E34" s="45" t="inlineStr">
        <is>
          <t>$55,120</t>
        </is>
      </c>
      <c r="F34" s="43" t="inlineStr">
        <is>
          <t>$4,593</t>
        </is>
      </c>
      <c r="G34" s="167" t="inlineStr">
        <is>
          <t>9/24/2026</t>
        </is>
      </c>
      <c r="H34" s="169" t="inlineStr">
        <is>
          <t>Operations</t>
        </is>
      </c>
    </row>
    <row r="36" ht="20" customHeight="1">
      <c r="A36" s="4" t="inlineStr">
        <is>
          <t xml:space="preserve">  RAISE SCHEDULE — URGENCY FLAGGED</t>
        </is>
      </c>
    </row>
    <row r="37" ht="18" customHeight="1">
      <c r="A37" s="39" t="inlineStr">
        <is>
          <t>Employee</t>
        </is>
      </c>
      <c r="B37" s="39" t="inlineStr">
        <is>
          <t>Dept</t>
        </is>
      </c>
      <c r="C37" s="40" t="inlineStr">
        <is>
          <t>Current Salary</t>
        </is>
      </c>
      <c r="D37" s="40" t="inlineStr">
        <is>
          <t>New Salary</t>
        </is>
      </c>
      <c r="E37" s="39" t="inlineStr">
        <is>
          <t>Raise %</t>
        </is>
      </c>
      <c r="F37" s="40" t="inlineStr">
        <is>
          <t>+/Month</t>
        </is>
      </c>
      <c r="G37" s="40" t="inlineStr">
        <is>
          <t>+/Year</t>
        </is>
      </c>
      <c r="H37" s="39" t="inlineStr">
        <is>
          <t>Effective Date</t>
        </is>
      </c>
      <c r="I37" s="39" t="inlineStr">
        <is>
          <t>Status</t>
        </is>
      </c>
      <c r="J37" s="39" t="inlineStr">
        <is>
          <t>Notes</t>
        </is>
      </c>
    </row>
    <row r="38" ht="18" customHeight="1">
      <c r="A38" s="108" t="inlineStr">
        <is>
          <t>Naomi Rothschild</t>
        </is>
      </c>
      <c r="B38" s="109" t="inlineStr">
        <is>
          <t>Brands</t>
        </is>
      </c>
      <c r="C38" s="111" t="inlineStr">
        <is>
          <t>$52,000</t>
        </is>
      </c>
      <c r="D38" s="172" t="inlineStr">
        <is>
          <t>$54,080</t>
        </is>
      </c>
      <c r="E38" s="173" t="inlineStr">
        <is>
          <t>4.0%</t>
        </is>
      </c>
      <c r="F38" s="174" t="inlineStr">
        <is>
          <t>+$173</t>
        </is>
      </c>
      <c r="G38" s="175" t="inlineStr">
        <is>
          <t>+$2,080</t>
        </is>
      </c>
      <c r="H38" s="176" t="inlineStr">
        <is>
          <t>Apr 14, 2026</t>
        </is>
      </c>
      <c r="I38" s="41" t="inlineStr">
        <is>
          <t>PAST DUE</t>
        </is>
      </c>
      <c r="J38" s="177" t="inlineStr">
        <is>
          <t>$26/hour</t>
        </is>
      </c>
    </row>
    <row r="39" ht="18" customHeight="1">
      <c r="A39" s="178" t="inlineStr">
        <is>
          <t>Jenna Wilen</t>
        </is>
      </c>
      <c r="B39" s="179" t="inlineStr">
        <is>
          <t>Talent</t>
        </is>
      </c>
      <c r="C39" s="180" t="inlineStr">
        <is>
          <t>$75,000</t>
        </is>
      </c>
      <c r="D39" s="181" t="inlineStr">
        <is>
          <t>$76,500</t>
        </is>
      </c>
      <c r="E39" s="182" t="inlineStr">
        <is>
          <t>2.0%</t>
        </is>
      </c>
      <c r="F39" s="183" t="inlineStr">
        <is>
          <t>+$125</t>
        </is>
      </c>
      <c r="G39" s="184" t="inlineStr">
        <is>
          <t>+$1,500</t>
        </is>
      </c>
      <c r="H39" s="185" t="inlineStr">
        <is>
          <t>Jun 15, 2026</t>
        </is>
      </c>
      <c r="I39" s="47" t="inlineStr">
        <is>
          <t>DUE SOON</t>
        </is>
      </c>
      <c r="J39" s="186" t="inlineStr">
        <is>
          <t>PIP-related</t>
        </is>
      </c>
    </row>
    <row r="40" ht="18" customHeight="1">
      <c r="A40" s="187" t="inlineStr">
        <is>
          <t>Julia Matina</t>
        </is>
      </c>
      <c r="B40" s="188" t="inlineStr">
        <is>
          <t>Talent</t>
        </is>
      </c>
      <c r="C40" s="189" t="inlineStr">
        <is>
          <t>$90,000</t>
        </is>
      </c>
      <c r="D40" s="190" t="inlineStr">
        <is>
          <t>$93,600</t>
        </is>
      </c>
      <c r="E40" s="191" t="inlineStr">
        <is>
          <t>4.0%</t>
        </is>
      </c>
      <c r="F40" s="192" t="inlineStr">
        <is>
          <t>+$300</t>
        </is>
      </c>
      <c r="G40" s="193" t="inlineStr">
        <is>
          <t>+$3,600</t>
        </is>
      </c>
      <c r="H40" s="194" t="inlineStr">
        <is>
          <t>Aug 23, 2026</t>
        </is>
      </c>
      <c r="I40" s="195" t="inlineStr">
        <is>
          <t>Upcoming</t>
        </is>
      </c>
      <c r="J40" s="196" t="inlineStr">
        <is>
          <t>Last raise 9/22/25</t>
        </is>
      </c>
    </row>
    <row r="41" ht="18" customHeight="1">
      <c r="A41" s="187" t="inlineStr">
        <is>
          <t>Sophie Strasser</t>
        </is>
      </c>
      <c r="B41" s="188" t="inlineStr">
        <is>
          <t>Talent</t>
        </is>
      </c>
      <c r="C41" s="189" t="inlineStr">
        <is>
          <t>$52,000</t>
        </is>
      </c>
      <c r="D41" s="190" t="inlineStr">
        <is>
          <t>$53,040</t>
        </is>
      </c>
      <c r="E41" s="191" t="inlineStr">
        <is>
          <t>4.0%</t>
        </is>
      </c>
      <c r="F41" s="192" t="inlineStr">
        <is>
          <t>+$173</t>
        </is>
      </c>
      <c r="G41" s="193" t="inlineStr">
        <is>
          <t>+$2,080</t>
        </is>
      </c>
      <c r="H41" s="194" t="inlineStr">
        <is>
          <t>Aug 11, 2026</t>
        </is>
      </c>
      <c r="I41" s="195" t="inlineStr">
        <is>
          <t>Upcoming</t>
        </is>
      </c>
      <c r="J41" s="196" t="inlineStr">
        <is>
          <t>$26/hour</t>
        </is>
      </c>
    </row>
    <row r="42" ht="18" customHeight="1">
      <c r="A42" s="187" t="inlineStr">
        <is>
          <t>Caitlyn Fruehauf</t>
        </is>
      </c>
      <c r="B42" s="188" t="inlineStr">
        <is>
          <t>Talent</t>
        </is>
      </c>
      <c r="C42" s="189" t="inlineStr">
        <is>
          <t>$72,072</t>
        </is>
      </c>
      <c r="D42" s="190" t="inlineStr">
        <is>
          <t>$74,955</t>
        </is>
      </c>
      <c r="E42" s="191" t="inlineStr">
        <is>
          <t>4.0%</t>
        </is>
      </c>
      <c r="F42" s="192" t="inlineStr">
        <is>
          <t>+$240</t>
        </is>
      </c>
      <c r="G42" s="193" t="inlineStr">
        <is>
          <t>+$2,883</t>
        </is>
      </c>
      <c r="H42" s="194" t="inlineStr">
        <is>
          <t>Aug 15, 2026</t>
        </is>
      </c>
      <c r="I42" s="195" t="inlineStr">
        <is>
          <t>Upcoming</t>
        </is>
      </c>
      <c r="J42" s="196" t="inlineStr"/>
    </row>
    <row r="43" ht="18" customHeight="1">
      <c r="A43" s="187" t="inlineStr">
        <is>
          <t>Annabel Stolar</t>
        </is>
      </c>
      <c r="B43" s="188" t="inlineStr">
        <is>
          <t>Brands</t>
        </is>
      </c>
      <c r="C43" s="189" t="inlineStr">
        <is>
          <t>$58,240</t>
        </is>
      </c>
      <c r="D43" s="190" t="inlineStr">
        <is>
          <t>$65,000</t>
        </is>
      </c>
      <c r="E43" s="191" t="inlineStr">
        <is>
          <t>11.6%</t>
        </is>
      </c>
      <c r="F43" s="192" t="inlineStr">
        <is>
          <t>+$563</t>
        </is>
      </c>
      <c r="G43" s="193" t="inlineStr">
        <is>
          <t>+$6,760</t>
        </is>
      </c>
      <c r="H43" s="194" t="inlineStr">
        <is>
          <t>Aug 2026</t>
        </is>
      </c>
      <c r="I43" s="195" t="inlineStr">
        <is>
          <t>Upcoming</t>
        </is>
      </c>
      <c r="J43" s="196" t="inlineStr">
        <is>
          <t>Promotion — $31.25/hr</t>
        </is>
      </c>
    </row>
    <row r="44" ht="18" customHeight="1">
      <c r="A44" s="187" t="inlineStr">
        <is>
          <t>Haley Josephson</t>
        </is>
      </c>
      <c r="B44" s="188" t="inlineStr">
        <is>
          <t>Ops</t>
        </is>
      </c>
      <c r="C44" s="189" t="inlineStr">
        <is>
          <t>$120,000</t>
        </is>
      </c>
      <c r="D44" s="190" t="inlineStr">
        <is>
          <t>$124,800</t>
        </is>
      </c>
      <c r="E44" s="191" t="inlineStr">
        <is>
          <t>4.0%</t>
        </is>
      </c>
      <c r="F44" s="192" t="inlineStr">
        <is>
          <t>+$400</t>
        </is>
      </c>
      <c r="G44" s="193" t="inlineStr">
        <is>
          <t>+$4,800</t>
        </is>
      </c>
      <c r="H44" s="194" t="inlineStr">
        <is>
          <t>Sep 3, 2026</t>
        </is>
      </c>
      <c r="I44" s="195" t="inlineStr">
        <is>
          <t>Upcoming</t>
        </is>
      </c>
      <c r="J44" s="196" t="inlineStr"/>
    </row>
    <row r="45" ht="18" customHeight="1">
      <c r="A45" s="187" t="inlineStr">
        <is>
          <t>Valeria Flores</t>
        </is>
      </c>
      <c r="B45" s="188" t="inlineStr">
        <is>
          <t>Talent</t>
        </is>
      </c>
      <c r="C45" s="189" t="inlineStr">
        <is>
          <t>$52,000</t>
        </is>
      </c>
      <c r="D45" s="190" t="inlineStr">
        <is>
          <t>$54,080</t>
        </is>
      </c>
      <c r="E45" s="191" t="inlineStr">
        <is>
          <t>4.0%</t>
        </is>
      </c>
      <c r="F45" s="192" t="inlineStr">
        <is>
          <t>+$173</t>
        </is>
      </c>
      <c r="G45" s="193" t="inlineStr">
        <is>
          <t>+$2,080</t>
        </is>
      </c>
      <c r="H45" s="194" t="inlineStr">
        <is>
          <t>Sep 22, 2026</t>
        </is>
      </c>
      <c r="I45" s="195" t="inlineStr">
        <is>
          <t>Upcoming</t>
        </is>
      </c>
      <c r="J45" s="196" t="inlineStr">
        <is>
          <t>$26/hour</t>
        </is>
      </c>
    </row>
    <row r="46" ht="18" customHeight="1">
      <c r="A46" s="187" t="inlineStr">
        <is>
          <t>Anita Bachkabakian</t>
        </is>
      </c>
      <c r="B46" s="188" t="inlineStr">
        <is>
          <t>Ops</t>
        </is>
      </c>
      <c r="C46" s="189" t="inlineStr">
        <is>
          <t>$97,000</t>
        </is>
      </c>
      <c r="D46" s="190" t="inlineStr">
        <is>
          <t>$100,880</t>
        </is>
      </c>
      <c r="E46" s="191" t="inlineStr">
        <is>
          <t>4.0%</t>
        </is>
      </c>
      <c r="F46" s="192" t="inlineStr">
        <is>
          <t>+$323</t>
        </is>
      </c>
      <c r="G46" s="193" t="inlineStr">
        <is>
          <t>+$3,880</t>
        </is>
      </c>
      <c r="H46" s="194" t="inlineStr">
        <is>
          <t>Oct 18, 2026</t>
        </is>
      </c>
      <c r="I46" s="195" t="inlineStr">
        <is>
          <t>Upcoming</t>
        </is>
      </c>
      <c r="J46" s="196" t="inlineStr"/>
    </row>
    <row r="47" ht="18" customHeight="1">
      <c r="A47" s="187" t="inlineStr">
        <is>
          <t>Kendall Singer</t>
        </is>
      </c>
      <c r="B47" s="188" t="inlineStr">
        <is>
          <t>Talent</t>
        </is>
      </c>
      <c r="C47" s="189" t="inlineStr">
        <is>
          <t>$58,240</t>
        </is>
      </c>
      <c r="D47" s="190" t="inlineStr">
        <is>
          <t>$62,400</t>
        </is>
      </c>
      <c r="E47" s="191" t="inlineStr">
        <is>
          <t>7.1%</t>
        </is>
      </c>
      <c r="F47" s="192" t="inlineStr">
        <is>
          <t>+$347</t>
        </is>
      </c>
      <c r="G47" s="193" t="inlineStr">
        <is>
          <t>+$4,060</t>
        </is>
      </c>
      <c r="H47" s="194" t="inlineStr">
        <is>
          <t>Nov 6, 2026</t>
        </is>
      </c>
      <c r="I47" s="195" t="inlineStr">
        <is>
          <t>Upcoming</t>
        </is>
      </c>
      <c r="J47" s="196" t="inlineStr">
        <is>
          <t>$30/hr — deserves more if affordable</t>
        </is>
      </c>
    </row>
    <row r="48" ht="18" customHeight="1">
      <c r="A48" s="187" t="inlineStr">
        <is>
          <t>Lindsey LeDoux</t>
        </is>
      </c>
      <c r="B48" s="188" t="inlineStr">
        <is>
          <t>Brands</t>
        </is>
      </c>
      <c r="C48" s="189" t="inlineStr">
        <is>
          <t>$85,000</t>
        </is>
      </c>
      <c r="D48" s="190" t="inlineStr">
        <is>
          <t>$88,400</t>
        </is>
      </c>
      <c r="E48" s="191" t="inlineStr">
        <is>
          <t>4.0%</t>
        </is>
      </c>
      <c r="F48" s="192" t="inlineStr">
        <is>
          <t>+$283</t>
        </is>
      </c>
      <c r="G48" s="193" t="inlineStr">
        <is>
          <t>+$3,400</t>
        </is>
      </c>
      <c r="H48" s="194" t="inlineStr">
        <is>
          <t>Nov 4, 2026</t>
        </is>
      </c>
      <c r="I48" s="195" t="inlineStr">
        <is>
          <t>Upcoming</t>
        </is>
      </c>
      <c r="J48" s="196" t="inlineStr">
        <is>
          <t>Aligning with last raise cadence</t>
        </is>
      </c>
    </row>
    <row r="49" ht="18" customHeight="1">
      <c r="A49" s="9" t="inlineStr">
        <is>
          <t>Madalynn Lewis</t>
        </is>
      </c>
      <c r="B49" s="52" t="inlineStr">
        <is>
          <t>Brands</t>
        </is>
      </c>
      <c r="C49" s="50" t="inlineStr">
        <is>
          <t>$52,000</t>
        </is>
      </c>
      <c r="D49" s="53" t="inlineStr">
        <is>
          <t>$54,080</t>
        </is>
      </c>
      <c r="E49" s="49" t="inlineStr">
        <is>
          <t>4.0%</t>
        </is>
      </c>
      <c r="F49" s="61" t="inlineStr">
        <is>
          <t>+$173</t>
        </is>
      </c>
      <c r="G49" s="82" t="inlineStr">
        <is>
          <t>+$2,080</t>
        </is>
      </c>
      <c r="H49" s="94" t="inlineStr">
        <is>
          <t>Feb 9, 2027</t>
        </is>
      </c>
      <c r="I49" s="116" t="inlineStr">
        <is>
          <t>2027+</t>
        </is>
      </c>
      <c r="J49" s="93" t="inlineStr">
        <is>
          <t>$26/hour</t>
        </is>
      </c>
    </row>
    <row r="50" ht="18" customHeight="1">
      <c r="A50" s="9" t="inlineStr">
        <is>
          <t>Nicole Pila</t>
        </is>
      </c>
      <c r="B50" s="52" t="inlineStr">
        <is>
          <t>Ops</t>
        </is>
      </c>
      <c r="C50" s="50" t="inlineStr">
        <is>
          <t>$75,600</t>
        </is>
      </c>
      <c r="D50" s="53" t="inlineStr">
        <is>
          <t>$78,624</t>
        </is>
      </c>
      <c r="E50" s="49" t="inlineStr">
        <is>
          <t>4.0%</t>
        </is>
      </c>
      <c r="F50" s="61" t="inlineStr">
        <is>
          <t>+$252</t>
        </is>
      </c>
      <c r="G50" s="82" t="inlineStr">
        <is>
          <t>+$3,024</t>
        </is>
      </c>
      <c r="H50" s="94" t="inlineStr">
        <is>
          <t>Apr 13, 2027</t>
        </is>
      </c>
      <c r="I50" s="116" t="inlineStr">
        <is>
          <t>2027+</t>
        </is>
      </c>
      <c r="J50" s="93" t="inlineStr">
        <is>
          <t>Based on promotion date</t>
        </is>
      </c>
    </row>
    <row r="51" ht="18" customHeight="1">
      <c r="A51" s="9" t="inlineStr">
        <is>
          <t>Anne Leopard</t>
        </is>
      </c>
      <c r="B51" s="52" t="inlineStr">
        <is>
          <t>Brands</t>
        </is>
      </c>
      <c r="C51" s="50" t="inlineStr">
        <is>
          <t>$115,000</t>
        </is>
      </c>
      <c r="D51" s="53" t="inlineStr">
        <is>
          <t>$119,600</t>
        </is>
      </c>
      <c r="E51" s="49" t="inlineStr">
        <is>
          <t>4.0%</t>
        </is>
      </c>
      <c r="F51" s="61" t="inlineStr">
        <is>
          <t>+$383</t>
        </is>
      </c>
      <c r="G51" s="82" t="inlineStr">
        <is>
          <t>+$4,600</t>
        </is>
      </c>
      <c r="H51" s="94" t="inlineStr">
        <is>
          <t>Apr 20, 2027</t>
        </is>
      </c>
      <c r="I51" s="116" t="inlineStr">
        <is>
          <t>2027+</t>
        </is>
      </c>
      <c r="J51" s="93" t="inlineStr"/>
    </row>
    <row r="52" ht="18" customHeight="1">
      <c r="A52" s="9" t="inlineStr">
        <is>
          <t>Jackson Goldman</t>
        </is>
      </c>
      <c r="B52" s="52" t="inlineStr">
        <is>
          <t>Talent</t>
        </is>
      </c>
      <c r="C52" s="50" t="inlineStr">
        <is>
          <t>$52,000</t>
        </is>
      </c>
      <c r="D52" s="53" t="inlineStr">
        <is>
          <t>$54,080</t>
        </is>
      </c>
      <c r="E52" s="49" t="inlineStr">
        <is>
          <t>4.0%</t>
        </is>
      </c>
      <c r="F52" s="61" t="inlineStr">
        <is>
          <t>+$173</t>
        </is>
      </c>
      <c r="G52" s="82" t="inlineStr">
        <is>
          <t>+$2,080</t>
        </is>
      </c>
      <c r="H52" s="94" t="inlineStr">
        <is>
          <t>Apr 6, 2027</t>
        </is>
      </c>
      <c r="I52" s="116" t="inlineStr">
        <is>
          <t>2027+</t>
        </is>
      </c>
      <c r="J52" s="93" t="inlineStr">
        <is>
          <t>$26/hour</t>
        </is>
      </c>
    </row>
    <row r="53" ht="18" customHeight="1">
      <c r="A53" s="9" t="inlineStr">
        <is>
          <t>Sophia Ribner</t>
        </is>
      </c>
      <c r="B53" s="52" t="inlineStr">
        <is>
          <t>Talent</t>
        </is>
      </c>
      <c r="C53" s="50" t="inlineStr">
        <is>
          <t>$69,500</t>
        </is>
      </c>
      <c r="D53" s="53" t="inlineStr">
        <is>
          <t>$72,280</t>
        </is>
      </c>
      <c r="E53" s="49" t="inlineStr">
        <is>
          <t>4.0%</t>
        </is>
      </c>
      <c r="F53" s="61" t="inlineStr">
        <is>
          <t>+$232</t>
        </is>
      </c>
      <c r="G53" s="82" t="inlineStr">
        <is>
          <t>+$2,780</t>
        </is>
      </c>
      <c r="H53" s="94" t="inlineStr">
        <is>
          <t>May 25, 2027</t>
        </is>
      </c>
      <c r="I53" s="116" t="inlineStr">
        <is>
          <t>2027+</t>
        </is>
      </c>
      <c r="J53" s="93" t="inlineStr">
        <is>
          <t>Based on promotion date</t>
        </is>
      </c>
    </row>
    <row r="54" ht="18" customHeight="1">
      <c r="A54" s="9" t="inlineStr">
        <is>
          <t>Tobey Lynn Reyes</t>
        </is>
      </c>
      <c r="B54" s="52" t="inlineStr">
        <is>
          <t>Ops</t>
        </is>
      </c>
      <c r="C54" s="50" t="inlineStr">
        <is>
          <t>$55,120</t>
        </is>
      </c>
      <c r="D54" s="53" t="inlineStr">
        <is>
          <t>$57,325</t>
        </is>
      </c>
      <c r="E54" s="49" t="inlineStr">
        <is>
          <t>4.0%</t>
        </is>
      </c>
      <c r="F54" s="61" t="inlineStr">
        <is>
          <t>+$184</t>
        </is>
      </c>
      <c r="G54" s="82" t="inlineStr">
        <is>
          <t>+$2,205</t>
        </is>
      </c>
      <c r="H54" s="94" t="inlineStr">
        <is>
          <t>Sep 24, 2027</t>
        </is>
      </c>
      <c r="I54" s="116" t="inlineStr">
        <is>
          <t>2027+</t>
        </is>
      </c>
      <c r="J54" s="93" t="inlineStr">
        <is>
          <t>$27.56/hour</t>
        </is>
      </c>
    </row>
    <row r="55" ht="18" customHeight="1">
      <c r="A55" s="9" t="inlineStr">
        <is>
          <t>JAE Replacement</t>
        </is>
      </c>
      <c r="B55" s="52" t="inlineStr">
        <is>
          <t>Talent</t>
        </is>
      </c>
      <c r="C55" s="50" t="inlineStr">
        <is>
          <t>$58,240</t>
        </is>
      </c>
      <c r="D55" s="53" t="inlineStr">
        <is>
          <t>$60,570</t>
        </is>
      </c>
      <c r="E55" s="49" t="inlineStr">
        <is>
          <t>4.0%</t>
        </is>
      </c>
      <c r="F55" s="61" t="inlineStr">
        <is>
          <t>+$194</t>
        </is>
      </c>
      <c r="G55" s="82" t="inlineStr">
        <is>
          <t>+$2,330</t>
        </is>
      </c>
      <c r="H55" s="94" t="inlineStr">
        <is>
          <t>TBD June 2026</t>
        </is>
      </c>
      <c r="I55" s="116" t="inlineStr">
        <is>
          <t>TBD</t>
        </is>
      </c>
      <c r="J55" s="93" t="inlineStr">
        <is>
          <t>New hire replacement</t>
        </is>
      </c>
    </row>
    <row r="56" ht="18" customHeight="1">
      <c r="A56" s="9" t="inlineStr">
        <is>
          <t>Alexis Papadopoulos</t>
        </is>
      </c>
      <c r="B56" s="52" t="inlineStr">
        <is>
          <t>Talent</t>
        </is>
      </c>
      <c r="C56" s="50" t="inlineStr">
        <is>
          <t>$80,000</t>
        </is>
      </c>
      <c r="D56" s="53" t="inlineStr">
        <is>
          <t>$80,000</t>
        </is>
      </c>
      <c r="E56" s="50" t="inlineStr">
        <is>
          <t>0.0%</t>
        </is>
      </c>
      <c r="F56" s="50" t="inlineStr">
        <is>
          <t>—</t>
        </is>
      </c>
      <c r="G56" s="50" t="inlineStr">
        <is>
          <t>—</t>
        </is>
      </c>
      <c r="H56" s="94" t="inlineStr">
        <is>
          <t>—</t>
        </is>
      </c>
      <c r="I56" s="116" t="inlineStr">
        <is>
          <t>No Change</t>
        </is>
      </c>
      <c r="J56" s="93" t="inlineStr">
        <is>
          <t>Already received raise</t>
        </is>
      </c>
    </row>
    <row r="57" ht="4" customHeight="1"/>
    <row r="58" ht="20" customHeight="1">
      <c r="A58" s="56" t="inlineStr">
        <is>
          <t>TOTAL RAISE IMPACT</t>
        </is>
      </c>
      <c r="B58" s="36" t="inlineStr"/>
      <c r="C58" s="36" t="inlineStr"/>
      <c r="D58" s="36" t="inlineStr"/>
      <c r="E58" s="36" t="inlineStr"/>
      <c r="F58" s="197" t="inlineStr">
        <is>
          <t>+$4,497/mo</t>
        </is>
      </c>
      <c r="G58" s="197" t="inlineStr">
        <is>
          <t>+$50,012/yr</t>
        </is>
      </c>
      <c r="H58" s="36" t="inlineStr"/>
      <c r="I58" s="36" t="inlineStr"/>
      <c r="J58" s="36" t="inlineStr"/>
    </row>
  </sheetData>
  <mergeCells count="6">
    <mergeCell ref="A1:J1"/>
    <mergeCell ref="A36:J36"/>
    <mergeCell ref="A3:J3"/>
    <mergeCell ref="A12:J12"/>
    <mergeCell ref="A4:J4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55A64"/>
    <outlinePr summaryBelow="1" summaryRight="1"/>
    <pageSetUpPr/>
  </sheetPr>
  <dimension ref="A1:I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32" customWidth="1" min="9" max="9"/>
  </cols>
  <sheetData>
    <row r="1" ht="40" customHeight="1">
      <c r="A1" s="1" t="inlineStr">
        <is>
          <t xml:space="preserve">  Operations Budget — Budget vs Actual</t>
        </is>
      </c>
    </row>
    <row r="2" ht="18" customHeight="1">
      <c r="A2" s="2" t="inlineStr">
        <is>
          <t xml:space="preserve">  Monthly operating expense tracking  ·  Source: Emily's email + $73K Opex from Employee_vs_Revenue  ·  Jun 3, 2026</t>
        </is>
      </c>
    </row>
    <row r="3" ht="6" customHeight="1">
      <c r="A3" s="3" t="inlineStr"/>
    </row>
    <row r="4" ht="20" customHeight="1">
      <c r="A4" s="4" t="inlineStr">
        <is>
          <t xml:space="preserve">  ANNUAL OPERATING BUDGET  (confirmed budgets from leadership)</t>
        </is>
      </c>
    </row>
    <row r="5" ht="18" customHeight="1">
      <c r="A5" s="39" t="inlineStr">
        <is>
          <t>Category</t>
        </is>
      </c>
      <c r="B5" s="40" t="inlineStr">
        <is>
          <t>Monthly Budget</t>
        </is>
      </c>
      <c r="C5" s="40" t="inlineStr">
        <is>
          <t>Annual Budget</t>
        </is>
      </c>
      <c r="D5" s="40" t="inlineStr">
        <is>
          <t>Dec Budget</t>
        </is>
      </c>
      <c r="E5" s="39" t="inlineStr">
        <is>
          <t>Priority</t>
        </is>
      </c>
      <c r="F5" s="39" t="inlineStr"/>
      <c r="G5" s="39" t="inlineStr"/>
      <c r="H5" s="39" t="inlineStr"/>
      <c r="I5" s="39" t="inlineStr">
        <is>
          <t>Notes / Source</t>
        </is>
      </c>
    </row>
    <row r="6" ht="20" customHeight="1">
      <c r="A6" s="64" t="inlineStr">
        <is>
          <t>Meals</t>
        </is>
      </c>
      <c r="B6" s="43" t="inlineStr">
        <is>
          <t>$1,500</t>
        </is>
      </c>
      <c r="C6" s="44" t="inlineStr">
        <is>
          <t>$18,000</t>
        </is>
      </c>
      <c r="D6" s="96" t="inlineStr">
        <is>
          <t>$5,000</t>
        </is>
      </c>
      <c r="E6" s="198" t="inlineStr">
        <is>
          <t>Confirmed</t>
        </is>
      </c>
      <c r="F6" s="113" t="inlineStr"/>
      <c r="G6" s="113" t="inlineStr"/>
      <c r="H6" s="113" t="inlineStr"/>
      <c r="I6" s="88" t="inlineStr">
        <is>
          <t>Emily's email — team lunches $600 + Emily personal/entertainment</t>
        </is>
      </c>
    </row>
    <row r="7" ht="20" customHeight="1">
      <c r="A7" s="76" t="inlineStr">
        <is>
          <t>Travel</t>
        </is>
      </c>
      <c r="B7" s="49" t="inlineStr">
        <is>
          <t>$3,000</t>
        </is>
      </c>
      <c r="C7" s="50" t="inlineStr">
        <is>
          <t>$36,000</t>
        </is>
      </c>
      <c r="D7" s="50" t="inlineStr">
        <is>
          <t>Same</t>
        </is>
      </c>
      <c r="E7" s="199" t="inlineStr">
        <is>
          <t>Confirmed</t>
        </is>
      </c>
      <c r="F7" s="113" t="inlineStr"/>
      <c r="G7" s="113" t="inlineStr"/>
      <c r="H7" s="113" t="inlineStr"/>
      <c r="I7" s="93" t="inlineStr">
        <is>
          <t>Emily's email — rideshares, flights, hotels</t>
        </is>
      </c>
    </row>
    <row r="8" ht="20" customHeight="1">
      <c r="A8" s="7" t="inlineStr">
        <is>
          <t>Muck Rack</t>
        </is>
      </c>
      <c r="B8" s="43" t="inlineStr">
        <is>
          <t>$8,500</t>
        </is>
      </c>
      <c r="C8" s="44" t="inlineStr">
        <is>
          <t>$102,000</t>
        </is>
      </c>
      <c r="D8" s="44" t="inlineStr">
        <is>
          <t>Same</t>
        </is>
      </c>
      <c r="E8" s="200" t="inlineStr">
        <is>
          <t>⚠ Needs confirmation</t>
        </is>
      </c>
      <c r="F8" s="113" t="inlineStr"/>
      <c r="G8" s="113" t="inlineStr"/>
      <c r="H8" s="113" t="inlineStr"/>
      <c r="I8" s="88" t="inlineStr">
        <is>
          <t>Estimate — standard agency rate. Confirm with Ops.</t>
        </is>
      </c>
    </row>
    <row r="9" ht="20" customHeight="1">
      <c r="A9" s="9" t="inlineStr">
        <is>
          <t>Software &amp; Subscriptions</t>
        </is>
      </c>
      <c r="B9" s="49" t="inlineStr">
        <is>
          <t>$3,000</t>
        </is>
      </c>
      <c r="C9" s="50" t="inlineStr">
        <is>
          <t>$36,000</t>
        </is>
      </c>
      <c r="D9" s="50" t="inlineStr">
        <is>
          <t>Same</t>
        </is>
      </c>
      <c r="E9" s="201" t="inlineStr">
        <is>
          <t>⚠ Needs confirmation</t>
        </is>
      </c>
      <c r="F9" s="113" t="inlineStr"/>
      <c r="G9" s="113" t="inlineStr"/>
      <c r="H9" s="113" t="inlineStr"/>
      <c r="I9" s="93" t="inlineStr">
        <is>
          <t>Estimate — needs full breakdown from Ops.</t>
        </is>
      </c>
    </row>
    <row r="10" ht="20" customHeight="1">
      <c r="A10" s="7" t="inlineStr">
        <is>
          <t>Recruiting</t>
        </is>
      </c>
      <c r="B10" s="43" t="inlineStr">
        <is>
          <t>$2,000</t>
        </is>
      </c>
      <c r="C10" s="44" t="inlineStr">
        <is>
          <t>$24,000</t>
        </is>
      </c>
      <c r="D10" s="44" t="inlineStr">
        <is>
          <t>Same</t>
        </is>
      </c>
      <c r="E10" s="200" t="inlineStr">
        <is>
          <t>⚠ Needs confirmation</t>
        </is>
      </c>
      <c r="F10" s="113" t="inlineStr"/>
      <c r="G10" s="113" t="inlineStr"/>
      <c r="H10" s="113" t="inlineStr"/>
      <c r="I10" s="88" t="inlineStr">
        <is>
          <t>Variable — depends on open roles.</t>
        </is>
      </c>
    </row>
    <row r="11" ht="20" customHeight="1">
      <c r="A11" s="9" t="inlineStr">
        <is>
          <t>Events &amp; Activations</t>
        </is>
      </c>
      <c r="B11" s="49" t="inlineStr">
        <is>
          <t>$5,000</t>
        </is>
      </c>
      <c r="C11" s="50" t="inlineStr">
        <is>
          <t>$60,000</t>
        </is>
      </c>
      <c r="D11" s="50" t="inlineStr">
        <is>
          <t>Same</t>
        </is>
      </c>
      <c r="E11" s="201" t="inlineStr">
        <is>
          <t>⚠ Needs confirmation</t>
        </is>
      </c>
      <c r="F11" s="113" t="inlineStr"/>
      <c r="G11" s="113" t="inlineStr"/>
      <c r="H11" s="113" t="inlineStr"/>
      <c r="I11" s="93" t="inlineStr">
        <is>
          <t>Variable — trade shows, client events, Cannes.</t>
        </is>
      </c>
    </row>
    <row r="12" ht="20" customHeight="1">
      <c r="A12" s="7" t="inlineStr">
        <is>
          <t>Office &amp; Supplies</t>
        </is>
      </c>
      <c r="B12" s="43" t="inlineStr">
        <is>
          <t>$1,000</t>
        </is>
      </c>
      <c r="C12" s="44" t="inlineStr">
        <is>
          <t>$12,000</t>
        </is>
      </c>
      <c r="D12" s="44" t="inlineStr">
        <is>
          <t>Same</t>
        </is>
      </c>
      <c r="E12" s="200" t="inlineStr">
        <is>
          <t>⚠ Needs confirmation</t>
        </is>
      </c>
      <c r="F12" s="113" t="inlineStr"/>
      <c r="G12" s="113" t="inlineStr"/>
      <c r="H12" s="113" t="inlineStr"/>
      <c r="I12" s="88" t="inlineStr">
        <is>
          <t>Estimate.</t>
        </is>
      </c>
    </row>
    <row r="13" ht="20" customHeight="1">
      <c r="A13" s="9" t="inlineStr">
        <is>
          <t>Other Operating</t>
        </is>
      </c>
      <c r="B13" s="49" t="inlineStr">
        <is>
          <t>$50,000</t>
        </is>
      </c>
      <c r="C13" s="50" t="inlineStr">
        <is>
          <t>$600,000</t>
        </is>
      </c>
      <c r="D13" s="50" t="inlineStr">
        <is>
          <t>Same</t>
        </is>
      </c>
      <c r="E13" s="201" t="inlineStr">
        <is>
          <t>⚠ Needs confirmation</t>
        </is>
      </c>
      <c r="F13" s="113" t="inlineStr"/>
      <c r="G13" s="113" t="inlineStr"/>
      <c r="H13" s="113" t="inlineStr"/>
      <c r="I13" s="93" t="inlineStr">
        <is>
          <t>Remaining of $73K total Opex — needs line-item breakdown.</t>
        </is>
      </c>
    </row>
    <row r="14" ht="20" customHeight="1">
      <c r="A14" s="56" t="inlineStr">
        <is>
          <t>TOTAL OPEX (per source)</t>
        </is>
      </c>
      <c r="B14" s="128" t="inlineStr">
        <is>
          <t>$73,000</t>
        </is>
      </c>
      <c r="C14" s="58" t="inlineStr">
        <is>
          <t>$876,000</t>
        </is>
      </c>
      <c r="D14" s="202" t="inlineStr">
        <is>
          <t>$75,500</t>
        </is>
      </c>
      <c r="E14" s="36" t="inlineStr"/>
      <c r="F14" s="36" t="inlineStr"/>
      <c r="G14" s="36" t="inlineStr"/>
      <c r="H14" s="36" t="inlineStr"/>
      <c r="I14" s="36" t="inlineStr"/>
    </row>
    <row r="16" ht="20" customHeight="1">
      <c r="A16" s="4" t="inlineStr">
        <is>
          <t xml:space="preserve">  MONTHLY BUDGET vs ACTUAL TRACKER  (enter actuals below)</t>
        </is>
      </c>
    </row>
    <row r="17" ht="18" customHeight="1">
      <c r="A17" s="39" t="inlineStr">
        <is>
          <t>Category</t>
        </is>
      </c>
      <c r="B17" s="40" t="inlineStr">
        <is>
          <t>Monthly Budget</t>
        </is>
      </c>
      <c r="C17" s="40" t="inlineStr">
        <is>
          <t>Jun Actual</t>
        </is>
      </c>
      <c r="D17" s="40" t="inlineStr">
        <is>
          <t>Variance $</t>
        </is>
      </c>
      <c r="E17" s="40" t="inlineStr">
        <is>
          <t>% Used</t>
        </is>
      </c>
      <c r="F17" s="39" t="inlineStr">
        <is>
          <t>Status</t>
        </is>
      </c>
      <c r="G17" s="39" t="inlineStr">
        <is>
          <t>May Actual</t>
        </is>
      </c>
      <c r="H17" s="39" t="inlineStr">
        <is>
          <t>Apr Actual</t>
        </is>
      </c>
      <c r="I17" s="39" t="inlineStr">
        <is>
          <t>Notes</t>
        </is>
      </c>
    </row>
    <row r="18" ht="18" customHeight="1">
      <c r="A18" s="7" t="inlineStr">
        <is>
          <t>Meals</t>
        </is>
      </c>
      <c r="B18" s="80" t="inlineStr">
        <is>
          <t>$1,500</t>
        </is>
      </c>
      <c r="C18" s="203" t="inlineStr">
        <is>
          <t>Enter actual →</t>
        </is>
      </c>
      <c r="D18" s="44">
        <f>C18-B18</f>
        <v/>
      </c>
      <c r="E18" s="44">
        <f>IFERROR(C18/B18,0)</f>
        <v/>
      </c>
      <c r="F18" s="87">
        <f>IF(E18&gt;1,"🔴 OVER",IF(E18&gt;=0.9,"⚠️ NEAR","✅ OK"))</f>
        <v/>
      </c>
      <c r="G18" s="44" t="inlineStr"/>
      <c r="H18" s="44" t="inlineStr"/>
      <c r="I18" s="88" t="inlineStr">
        <is>
          <t>Emily's email — team lunches $600 + Emily personal/entertainment</t>
        </is>
      </c>
    </row>
    <row r="19" ht="18" customHeight="1">
      <c r="A19" s="9" t="inlineStr">
        <is>
          <t>Travel</t>
        </is>
      </c>
      <c r="B19" s="81" t="inlineStr">
        <is>
          <t>$3,000</t>
        </is>
      </c>
      <c r="C19" s="204" t="inlineStr">
        <is>
          <t>Enter actual →</t>
        </is>
      </c>
      <c r="D19" s="50">
        <f>C19-B19</f>
        <v/>
      </c>
      <c r="E19" s="50">
        <f>IFERROR(C19/B19,0)</f>
        <v/>
      </c>
      <c r="F19" s="94">
        <f>IF(E19&gt;1,"🔴 OVER",IF(E19&gt;=0.9,"⚠️ NEAR","✅ OK"))</f>
        <v/>
      </c>
      <c r="G19" s="50" t="inlineStr"/>
      <c r="H19" s="50" t="inlineStr"/>
      <c r="I19" s="93" t="inlineStr">
        <is>
          <t>Emily's email — rideshares, flights, hotels</t>
        </is>
      </c>
    </row>
    <row r="20" ht="18" customHeight="1">
      <c r="A20" s="7" t="inlineStr">
        <is>
          <t>Muck Rack</t>
        </is>
      </c>
      <c r="B20" s="80" t="inlineStr">
        <is>
          <t>$8,500</t>
        </is>
      </c>
      <c r="C20" s="203" t="inlineStr">
        <is>
          <t>Enter actual →</t>
        </is>
      </c>
      <c r="D20" s="44">
        <f>C20-B20</f>
        <v/>
      </c>
      <c r="E20" s="44">
        <f>IFERROR(C20/B20,0)</f>
        <v/>
      </c>
      <c r="F20" s="87">
        <f>IF(E20&gt;1,"🔴 OVER",IF(E20&gt;=0.9,"⚠️ NEAR","✅ OK"))</f>
        <v/>
      </c>
      <c r="G20" s="44" t="inlineStr"/>
      <c r="H20" s="44" t="inlineStr"/>
      <c r="I20" s="88" t="inlineStr">
        <is>
          <t>Estimate — standard agency rate. Confirm with Ops.</t>
        </is>
      </c>
    </row>
    <row r="21" ht="18" customHeight="1">
      <c r="A21" s="9" t="inlineStr">
        <is>
          <t>Software &amp; Subscriptions</t>
        </is>
      </c>
      <c r="B21" s="81" t="inlineStr">
        <is>
          <t>$3,000</t>
        </is>
      </c>
      <c r="C21" s="204" t="inlineStr">
        <is>
          <t>Enter actual →</t>
        </is>
      </c>
      <c r="D21" s="50">
        <f>C21-B21</f>
        <v/>
      </c>
      <c r="E21" s="50">
        <f>IFERROR(C21/B21,0)</f>
        <v/>
      </c>
      <c r="F21" s="94">
        <f>IF(E21&gt;1,"🔴 OVER",IF(E21&gt;=0.9,"⚠️ NEAR","✅ OK"))</f>
        <v/>
      </c>
      <c r="G21" s="50" t="inlineStr"/>
      <c r="H21" s="50" t="inlineStr"/>
      <c r="I21" s="93" t="inlineStr">
        <is>
          <t>Estimate — needs full breakdown from Ops.</t>
        </is>
      </c>
    </row>
    <row r="22" ht="18" customHeight="1">
      <c r="A22" s="7" t="inlineStr">
        <is>
          <t>Recruiting</t>
        </is>
      </c>
      <c r="B22" s="80" t="inlineStr">
        <is>
          <t>$2,000</t>
        </is>
      </c>
      <c r="C22" s="203" t="inlineStr">
        <is>
          <t>Enter actual →</t>
        </is>
      </c>
      <c r="D22" s="44">
        <f>C22-B22</f>
        <v/>
      </c>
      <c r="E22" s="44">
        <f>IFERROR(C22/B22,0)</f>
        <v/>
      </c>
      <c r="F22" s="87">
        <f>IF(E22&gt;1,"🔴 OVER",IF(E22&gt;=0.9,"⚠️ NEAR","✅ OK"))</f>
        <v/>
      </c>
      <c r="G22" s="44" t="inlineStr"/>
      <c r="H22" s="44" t="inlineStr"/>
      <c r="I22" s="88" t="inlineStr">
        <is>
          <t>Variable — depends on open roles.</t>
        </is>
      </c>
    </row>
    <row r="23" ht="18" customHeight="1">
      <c r="A23" s="9" t="inlineStr">
        <is>
          <t>Events &amp; Activations</t>
        </is>
      </c>
      <c r="B23" s="81" t="inlineStr">
        <is>
          <t>$5,000</t>
        </is>
      </c>
      <c r="C23" s="204" t="inlineStr">
        <is>
          <t>Enter actual →</t>
        </is>
      </c>
      <c r="D23" s="50">
        <f>C23-B23</f>
        <v/>
      </c>
      <c r="E23" s="50">
        <f>IFERROR(C23/B23,0)</f>
        <v/>
      </c>
      <c r="F23" s="94">
        <f>IF(E23&gt;1,"🔴 OVER",IF(E23&gt;=0.9,"⚠️ NEAR","✅ OK"))</f>
        <v/>
      </c>
      <c r="G23" s="50" t="inlineStr"/>
      <c r="H23" s="50" t="inlineStr"/>
      <c r="I23" s="93" t="inlineStr">
        <is>
          <t>Variable — trade shows, client events, Cannes.</t>
        </is>
      </c>
    </row>
    <row r="24" ht="18" customHeight="1">
      <c r="A24" s="7" t="inlineStr">
        <is>
          <t>Office &amp; Supplies</t>
        </is>
      </c>
      <c r="B24" s="80" t="inlineStr">
        <is>
          <t>$1,000</t>
        </is>
      </c>
      <c r="C24" s="203" t="inlineStr">
        <is>
          <t>Enter actual →</t>
        </is>
      </c>
      <c r="D24" s="44">
        <f>C24-B24</f>
        <v/>
      </c>
      <c r="E24" s="44">
        <f>IFERROR(C24/B24,0)</f>
        <v/>
      </c>
      <c r="F24" s="87">
        <f>IF(E24&gt;1,"🔴 OVER",IF(E24&gt;=0.9,"⚠️ NEAR","✅ OK"))</f>
        <v/>
      </c>
      <c r="G24" s="44" t="inlineStr"/>
      <c r="H24" s="44" t="inlineStr"/>
      <c r="I24" s="88" t="inlineStr">
        <is>
          <t>Estimate.</t>
        </is>
      </c>
    </row>
    <row r="25" ht="18" customHeight="1">
      <c r="A25" s="9" t="inlineStr">
        <is>
          <t>Other Operating</t>
        </is>
      </c>
      <c r="B25" s="81" t="inlineStr">
        <is>
          <t>$50,000</t>
        </is>
      </c>
      <c r="C25" s="204" t="inlineStr">
        <is>
          <t>Enter actual →</t>
        </is>
      </c>
      <c r="D25" s="50">
        <f>C25-B25</f>
        <v/>
      </c>
      <c r="E25" s="50">
        <f>IFERROR(C25/B25,0)</f>
        <v/>
      </c>
      <c r="F25" s="94">
        <f>IF(E25&gt;1,"🔴 OVER",IF(E25&gt;=0.9,"⚠️ NEAR","✅ OK"))</f>
        <v/>
      </c>
      <c r="G25" s="50" t="inlineStr"/>
      <c r="H25" s="50" t="inlineStr"/>
      <c r="I25" s="93" t="inlineStr">
        <is>
          <t>Remaining of $73K total Opex — needs line-item breakdown.</t>
        </is>
      </c>
    </row>
    <row r="28" ht="20" customHeight="1">
      <c r="A28" s="4" t="inlineStr">
        <is>
          <t xml:space="preserve">  EXPENSE LOG  (add rows as expenses are submitted)</t>
        </is>
      </c>
    </row>
    <row r="29" ht="18" customHeight="1">
      <c r="A29" s="39" t="inlineStr">
        <is>
          <t>Date</t>
        </is>
      </c>
      <c r="B29" s="39" t="inlineStr">
        <is>
          <t>Category</t>
        </is>
      </c>
      <c r="C29" s="39" t="inlineStr">
        <is>
          <t>Vendor / Description</t>
        </is>
      </c>
      <c r="D29" s="40" t="inlineStr">
        <is>
          <t>Amount</t>
        </is>
      </c>
      <c r="E29" s="39" t="inlineStr">
        <is>
          <t>Submitted By</t>
        </is>
      </c>
      <c r="F29" s="39" t="inlineStr">
        <is>
          <t>Receipt?</t>
        </is>
      </c>
      <c r="G29" s="39" t="inlineStr">
        <is>
          <t>Budget Line</t>
        </is>
      </c>
      <c r="H29" s="39" t="inlineStr">
        <is>
          <t>Approved?</t>
        </is>
      </c>
      <c r="I29" s="39" t="inlineStr">
        <is>
          <t>Notes</t>
        </is>
      </c>
    </row>
    <row r="30" ht="18" customHeight="1">
      <c r="A30" s="69" t="inlineStr">
        <is>
          <t>5/28/26</t>
        </is>
      </c>
      <c r="B30" s="69" t="inlineStr">
        <is>
          <t>Travel</t>
        </is>
      </c>
      <c r="C30" s="69" t="inlineStr">
        <is>
          <t>Mileage — Haley to Susan McKagan event (23 mi @ $0.67)</t>
        </is>
      </c>
      <c r="D30" s="69" t="inlineStr">
        <is>
          <t>$15.41</t>
        </is>
      </c>
      <c r="E30" s="69" t="inlineStr">
        <is>
          <t>Haley Josephson</t>
        </is>
      </c>
      <c r="F30" s="69" t="inlineStr">
        <is>
          <t>Yes</t>
        </is>
      </c>
      <c r="G30" s="69" t="inlineStr">
        <is>
          <t>Travel</t>
        </is>
      </c>
      <c r="H30" s="69" t="inlineStr">
        <is>
          <t>Pending</t>
        </is>
      </c>
      <c r="I30" s="69" t="inlineStr">
        <is>
          <t>Expense form submitted</t>
        </is>
      </c>
    </row>
    <row r="31" ht="18" customHeight="1">
      <c r="A31" s="166" t="inlineStr"/>
      <c r="B31" s="166" t="inlineStr"/>
      <c r="C31" s="166" t="inlineStr"/>
      <c r="D31" s="166" t="inlineStr"/>
      <c r="E31" s="166" t="inlineStr"/>
      <c r="F31" s="166" t="inlineStr"/>
      <c r="G31" s="166" t="inlineStr"/>
      <c r="H31" s="166" t="inlineStr"/>
      <c r="I31" s="166" t="inlineStr"/>
    </row>
    <row r="32" ht="18" customHeight="1">
      <c r="A32" s="37" t="inlineStr"/>
      <c r="B32" s="37" t="inlineStr"/>
      <c r="C32" s="37" t="inlineStr"/>
      <c r="D32" s="37" t="inlineStr"/>
      <c r="E32" s="37" t="inlineStr"/>
      <c r="F32" s="37" t="inlineStr"/>
      <c r="G32" s="37" t="inlineStr"/>
      <c r="H32" s="37" t="inlineStr"/>
      <c r="I32" s="37" t="inlineStr"/>
    </row>
    <row r="33" ht="18" customHeight="1">
      <c r="A33" s="166" t="inlineStr"/>
      <c r="B33" s="166" t="inlineStr"/>
      <c r="C33" s="166" t="inlineStr"/>
      <c r="D33" s="166" t="inlineStr"/>
      <c r="E33" s="166" t="inlineStr"/>
      <c r="F33" s="166" t="inlineStr"/>
      <c r="G33" s="166" t="inlineStr"/>
      <c r="H33" s="166" t="inlineStr"/>
      <c r="I33" s="166" t="inlineStr"/>
    </row>
    <row r="34" ht="18" customHeight="1">
      <c r="A34" s="37" t="inlineStr"/>
      <c r="B34" s="37" t="inlineStr"/>
      <c r="C34" s="37" t="inlineStr"/>
      <c r="D34" s="37" t="inlineStr"/>
      <c r="E34" s="37" t="inlineStr"/>
      <c r="F34" s="37" t="inlineStr"/>
      <c r="G34" s="37" t="inlineStr"/>
      <c r="H34" s="37" t="inlineStr"/>
      <c r="I34" s="37" t="inlineStr"/>
    </row>
    <row r="35" ht="18" customHeight="1">
      <c r="A35" s="166" t="inlineStr"/>
      <c r="B35" s="166" t="inlineStr"/>
      <c r="C35" s="166" t="inlineStr"/>
      <c r="D35" s="166" t="inlineStr"/>
      <c r="E35" s="166" t="inlineStr"/>
      <c r="F35" s="166" t="inlineStr"/>
      <c r="G35" s="166" t="inlineStr"/>
      <c r="H35" s="166" t="inlineStr"/>
      <c r="I35" s="166" t="inlineStr"/>
    </row>
    <row r="36" ht="18" customHeight="1">
      <c r="A36" s="37" t="inlineStr"/>
      <c r="B36" s="37" t="inlineStr"/>
      <c r="C36" s="37" t="inlineStr"/>
      <c r="D36" s="37" t="inlineStr"/>
      <c r="E36" s="37" t="inlineStr"/>
      <c r="F36" s="37" t="inlineStr"/>
      <c r="G36" s="37" t="inlineStr"/>
      <c r="H36" s="37" t="inlineStr"/>
      <c r="I36" s="37" t="inlineStr"/>
    </row>
    <row r="37" ht="18" customHeight="1">
      <c r="A37" s="166" t="inlineStr"/>
      <c r="B37" s="166" t="inlineStr"/>
      <c r="C37" s="166" t="inlineStr"/>
      <c r="D37" s="166" t="inlineStr"/>
      <c r="E37" s="166" t="inlineStr"/>
      <c r="F37" s="166" t="inlineStr"/>
      <c r="G37" s="166" t="inlineStr"/>
      <c r="H37" s="166" t="inlineStr"/>
      <c r="I37" s="166" t="inlineStr"/>
    </row>
    <row r="38" ht="18" customHeight="1">
      <c r="A38" s="37" t="inlineStr"/>
      <c r="B38" s="37" t="inlineStr"/>
      <c r="C38" s="37" t="inlineStr"/>
      <c r="D38" s="37" t="inlineStr"/>
      <c r="E38" s="37" t="inlineStr"/>
      <c r="F38" s="37" t="inlineStr"/>
      <c r="G38" s="37" t="inlineStr"/>
      <c r="H38" s="37" t="inlineStr"/>
      <c r="I38" s="37" t="inlineStr"/>
    </row>
    <row r="39" ht="18" customHeight="1">
      <c r="A39" s="166" t="inlineStr"/>
      <c r="B39" s="166" t="inlineStr"/>
      <c r="C39" s="166" t="inlineStr"/>
      <c r="D39" s="166" t="inlineStr"/>
      <c r="E39" s="166" t="inlineStr"/>
      <c r="F39" s="166" t="inlineStr"/>
      <c r="G39" s="166" t="inlineStr"/>
      <c r="H39" s="166" t="inlineStr"/>
      <c r="I39" s="166" t="inlineStr"/>
    </row>
    <row r="40" ht="18" customHeight="1">
      <c r="A40" s="37" t="inlineStr"/>
      <c r="B40" s="37" t="inlineStr"/>
      <c r="C40" s="37" t="inlineStr"/>
      <c r="D40" s="37" t="inlineStr"/>
      <c r="E40" s="37" t="inlineStr"/>
      <c r="F40" s="37" t="inlineStr"/>
      <c r="G40" s="37" t="inlineStr"/>
      <c r="H40" s="37" t="inlineStr"/>
      <c r="I40" s="37" t="inlineStr"/>
    </row>
  </sheetData>
  <mergeCells count="6">
    <mergeCell ref="A2:I2"/>
    <mergeCell ref="A28:I28"/>
    <mergeCell ref="A1:I1"/>
    <mergeCell ref="A3:I3"/>
    <mergeCell ref="A4:I4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D52"/>
    <outlinePr summaryBelow="1" summaryRight="1"/>
    <pageSetUpPr/>
  </sheetPr>
  <dimension ref="A1:O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0" customHeight="1">
      <c r="A1" s="1" t="inlineStr">
        <is>
          <t xml:space="preserve">  Financial Summary — Monthly P&amp;L</t>
        </is>
      </c>
    </row>
    <row r="2" ht="18" customHeight="1">
      <c r="A2" s="2" t="inlineStr">
        <is>
          <t xml:space="preserve">  Historical snapshot + 2026 projections  ·  Source: Employee_vs_Revenue master data  ·  Jun 3, 2026</t>
        </is>
      </c>
    </row>
    <row r="3" ht="6" customHeight="1">
      <c r="A3" s="3" t="inlineStr"/>
    </row>
    <row r="4" ht="20" customHeight="1">
      <c r="A4" s="4" t="inlineStr">
        <is>
          <t xml:space="preserve">  2026 MONTHLY P&amp;L SNAPSHOT  (add each month's actuals — formulas auto-calculate)</t>
        </is>
      </c>
    </row>
    <row r="5" ht="18" customHeight="1">
      <c r="A5" s="39" t="inlineStr">
        <is>
          <t>Metric</t>
        </is>
      </c>
      <c r="B5" s="205" t="inlineStr">
        <is>
          <t>Jan</t>
        </is>
      </c>
      <c r="C5" s="205" t="inlineStr">
        <is>
          <t>Feb</t>
        </is>
      </c>
      <c r="D5" s="205" t="inlineStr">
        <is>
          <t>Mar</t>
        </is>
      </c>
      <c r="E5" s="205" t="inlineStr">
        <is>
          <t>Apr</t>
        </is>
      </c>
      <c r="F5" s="205" t="inlineStr">
        <is>
          <t>May</t>
        </is>
      </c>
      <c r="G5" s="205" t="inlineStr">
        <is>
          <t>Jun</t>
        </is>
      </c>
      <c r="H5" s="205" t="inlineStr">
        <is>
          <t>Jul</t>
        </is>
      </c>
      <c r="I5" s="205" t="inlineStr">
        <is>
          <t>Aug</t>
        </is>
      </c>
      <c r="J5" s="205" t="inlineStr">
        <is>
          <t>Sep</t>
        </is>
      </c>
      <c r="K5" s="205" t="inlineStr">
        <is>
          <t>Oct</t>
        </is>
      </c>
      <c r="L5" s="205" t="inlineStr">
        <is>
          <t>Nov</t>
        </is>
      </c>
      <c r="M5" s="205" t="inlineStr">
        <is>
          <t>Dec</t>
        </is>
      </c>
      <c r="N5" s="62" t="inlineStr">
        <is>
          <t>TOTAL</t>
        </is>
      </c>
      <c r="O5" s="62" t="inlineStr">
        <is>
          <t>AVG</t>
        </is>
      </c>
    </row>
    <row r="6" ht="20" customHeight="1">
      <c r="A6" s="206" t="inlineStr">
        <is>
          <t>REVENUE</t>
        </is>
      </c>
      <c r="B6" s="207" t="inlineStr"/>
      <c r="C6" s="207" t="inlineStr"/>
      <c r="D6" s="207" t="inlineStr"/>
      <c r="E6" s="207" t="inlineStr"/>
      <c r="F6" s="207" t="inlineStr"/>
      <c r="G6" s="208" t="inlineStr">
        <is>
          <t>$272,125</t>
        </is>
      </c>
      <c r="H6" s="207" t="inlineStr"/>
      <c r="I6" s="207" t="inlineStr"/>
      <c r="J6" s="207" t="inlineStr"/>
      <c r="K6" s="207" t="inlineStr"/>
      <c r="L6" s="207" t="inlineStr"/>
      <c r="M6" s="208">
        <f>SUM(B6:M6)</f>
        <v/>
      </c>
      <c r="N6" s="208">
        <f>IFERROR(AVERAGE(B6:M6),"")</f>
        <v/>
      </c>
      <c r="O6" s="207" t="inlineStr"/>
    </row>
    <row r="7" ht="18" customHeight="1">
      <c r="A7" s="209" t="inlineStr">
        <is>
          <t xml:space="preserve">  Talent</t>
        </is>
      </c>
      <c r="B7" s="210" t="inlineStr"/>
      <c r="C7" s="210" t="inlineStr"/>
      <c r="D7" s="210" t="inlineStr"/>
      <c r="E7" s="210" t="inlineStr"/>
      <c r="F7" s="210" t="inlineStr"/>
      <c r="G7" s="81" t="inlineStr">
        <is>
          <t>$130,250</t>
        </is>
      </c>
      <c r="H7" s="210" t="inlineStr"/>
      <c r="I7" s="210" t="inlineStr"/>
      <c r="J7" s="210" t="inlineStr"/>
      <c r="K7" s="210" t="inlineStr"/>
      <c r="L7" s="210" t="inlineStr"/>
      <c r="M7" s="81">
        <f>SUM(B7:M7)</f>
        <v/>
      </c>
      <c r="N7" s="81">
        <f>IFERROR(AVERAGE(B7:M7),"")</f>
        <v/>
      </c>
      <c r="O7" s="210" t="inlineStr"/>
    </row>
    <row r="8" ht="18" customHeight="1">
      <c r="A8" s="211" t="inlineStr">
        <is>
          <t xml:space="preserve">  Brands</t>
        </is>
      </c>
      <c r="B8" s="212" t="inlineStr"/>
      <c r="C8" s="212" t="inlineStr"/>
      <c r="D8" s="212" t="inlineStr"/>
      <c r="E8" s="212" t="inlineStr"/>
      <c r="F8" s="212" t="inlineStr"/>
      <c r="G8" s="80" t="inlineStr">
        <is>
          <t>$68,075</t>
        </is>
      </c>
      <c r="H8" s="212" t="inlineStr"/>
      <c r="I8" s="212" t="inlineStr"/>
      <c r="J8" s="212" t="inlineStr"/>
      <c r="K8" s="212" t="inlineStr"/>
      <c r="L8" s="212" t="inlineStr"/>
      <c r="M8" s="80">
        <f>SUM(B8:M8)</f>
        <v/>
      </c>
      <c r="N8" s="80">
        <f>IFERROR(AVERAGE(B8:M8),"")</f>
        <v/>
      </c>
      <c r="O8" s="212" t="inlineStr"/>
    </row>
    <row r="9" ht="18" customHeight="1">
      <c r="A9" s="209" t="inlineStr">
        <is>
          <t xml:space="preserve">  Socials</t>
        </is>
      </c>
      <c r="B9" s="210" t="inlineStr"/>
      <c r="C9" s="210" t="inlineStr"/>
      <c r="D9" s="210" t="inlineStr"/>
      <c r="E9" s="210" t="inlineStr"/>
      <c r="F9" s="210" t="inlineStr"/>
      <c r="G9" s="81" t="inlineStr">
        <is>
          <t>$1,800</t>
        </is>
      </c>
      <c r="H9" s="210" t="inlineStr"/>
      <c r="I9" s="210" t="inlineStr"/>
      <c r="J9" s="210" t="inlineStr"/>
      <c r="K9" s="210" t="inlineStr"/>
      <c r="L9" s="210" t="inlineStr"/>
      <c r="M9" s="81">
        <f>SUM(B9:M9)</f>
        <v/>
      </c>
      <c r="N9" s="81">
        <f>IFERROR(AVERAGE(B9:M9),"")</f>
        <v/>
      </c>
      <c r="O9" s="210" t="inlineStr"/>
    </row>
    <row r="10" ht="20" customHeight="1">
      <c r="A10" s="206" t="inlineStr">
        <is>
          <t>PAYROLL COST</t>
        </is>
      </c>
      <c r="B10" s="207" t="inlineStr"/>
      <c r="C10" s="207" t="inlineStr"/>
      <c r="D10" s="207" t="inlineStr"/>
      <c r="E10" s="207" t="inlineStr"/>
      <c r="F10" s="207" t="inlineStr"/>
      <c r="G10" s="213" t="inlineStr">
        <is>
          <t>$121,418</t>
        </is>
      </c>
      <c r="H10" s="207" t="inlineStr"/>
      <c r="I10" s="207" t="inlineStr"/>
      <c r="J10" s="207" t="inlineStr"/>
      <c r="K10" s="207" t="inlineStr"/>
      <c r="L10" s="207" t="inlineStr"/>
      <c r="M10" s="213">
        <f>SUM(B10:M10)</f>
        <v/>
      </c>
      <c r="N10" s="213">
        <f>IFERROR(AVERAGE(B10:M10),"")</f>
        <v/>
      </c>
      <c r="O10" s="207" t="inlineStr"/>
    </row>
    <row r="11" ht="20" customHeight="1">
      <c r="A11" s="206" t="inlineStr">
        <is>
          <t>OTHER OPEX</t>
        </is>
      </c>
      <c r="B11" s="207" t="inlineStr"/>
      <c r="C11" s="207" t="inlineStr"/>
      <c r="D11" s="207" t="inlineStr"/>
      <c r="E11" s="207" t="inlineStr"/>
      <c r="F11" s="207" t="inlineStr"/>
      <c r="G11" s="214" t="inlineStr">
        <is>
          <t>$73,000</t>
        </is>
      </c>
      <c r="H11" s="207" t="inlineStr"/>
      <c r="I11" s="207" t="inlineStr"/>
      <c r="J11" s="207" t="inlineStr"/>
      <c r="K11" s="207" t="inlineStr"/>
      <c r="L11" s="207" t="inlineStr"/>
      <c r="M11" s="214">
        <f>SUM(B11:M11)</f>
        <v/>
      </c>
      <c r="N11" s="214">
        <f>IFERROR(AVERAGE(B11:M11),"")</f>
        <v/>
      </c>
      <c r="O11" s="207" t="inlineStr"/>
    </row>
    <row r="12" ht="20" customHeight="1">
      <c r="A12" s="206" t="inlineStr">
        <is>
          <t>TOTAL EXPENSES</t>
        </is>
      </c>
      <c r="B12" s="207" t="inlineStr"/>
      <c r="C12" s="207" t="inlineStr"/>
      <c r="D12" s="207" t="inlineStr"/>
      <c r="E12" s="207" t="inlineStr"/>
      <c r="F12" s="207" t="inlineStr"/>
      <c r="G12" s="213" t="inlineStr">
        <is>
          <t>$180,478</t>
        </is>
      </c>
      <c r="H12" s="207" t="inlineStr"/>
      <c r="I12" s="207" t="inlineStr"/>
      <c r="J12" s="207" t="inlineStr"/>
      <c r="K12" s="207" t="inlineStr"/>
      <c r="L12" s="207" t="inlineStr"/>
      <c r="M12" s="213">
        <f>SUM(B12:M12)</f>
        <v/>
      </c>
      <c r="N12" s="213">
        <f>IFERROR(AVERAGE(B12:M12),"")</f>
        <v/>
      </c>
      <c r="O12" s="207" t="inlineStr"/>
    </row>
    <row r="13" ht="20" customHeight="1">
      <c r="A13" s="206" t="inlineStr">
        <is>
          <t>NET PROFIT</t>
        </is>
      </c>
      <c r="B13" s="207" t="inlineStr"/>
      <c r="C13" s="207" t="inlineStr"/>
      <c r="D13" s="207" t="inlineStr"/>
      <c r="E13" s="207" t="inlineStr"/>
      <c r="F13" s="207" t="inlineStr"/>
      <c r="G13" s="215" t="inlineStr">
        <is>
          <t>$91,647</t>
        </is>
      </c>
      <c r="H13" s="207" t="inlineStr"/>
      <c r="I13" s="207" t="inlineStr"/>
      <c r="J13" s="207" t="inlineStr"/>
      <c r="K13" s="207" t="inlineStr"/>
      <c r="L13" s="207" t="inlineStr"/>
      <c r="M13" s="215">
        <f>SUM(B13:M13)</f>
        <v/>
      </c>
      <c r="N13" s="215">
        <f>IFERROR(AVERAGE(B13:M13),"")</f>
        <v/>
      </c>
      <c r="O13" s="207" t="inlineStr"/>
    </row>
    <row r="14" ht="20" customHeight="1">
      <c r="A14" s="206" t="inlineStr">
        <is>
          <t>NET MARGIN %</t>
        </is>
      </c>
      <c r="B14" s="207" t="inlineStr"/>
      <c r="C14" s="207" t="inlineStr"/>
      <c r="D14" s="207" t="inlineStr"/>
      <c r="E14" s="207" t="inlineStr"/>
      <c r="F14" s="207" t="inlineStr"/>
      <c r="G14" s="215" t="inlineStr">
        <is>
          <t>33.7%</t>
        </is>
      </c>
      <c r="H14" s="207" t="inlineStr"/>
      <c r="I14" s="207" t="inlineStr"/>
      <c r="J14" s="207" t="inlineStr"/>
      <c r="K14" s="207" t="inlineStr"/>
      <c r="L14" s="207" t="inlineStr"/>
      <c r="M14" s="215">
        <f>AVERAGE(B14:M14)</f>
        <v/>
      </c>
      <c r="N14" s="215">
        <f>IFERROR(AVERAGE(B14:M14),"")</f>
        <v/>
      </c>
      <c r="O14" s="207" t="inlineStr"/>
    </row>
    <row r="15" ht="18" customHeight="1">
      <c r="A15" s="9" t="inlineStr">
        <is>
          <t>PAYROLL/REVENUE</t>
        </is>
      </c>
      <c r="B15" s="210" t="inlineStr"/>
      <c r="C15" s="210" t="inlineStr"/>
      <c r="D15" s="210" t="inlineStr"/>
      <c r="E15" s="210" t="inlineStr"/>
      <c r="F15" s="210" t="inlineStr"/>
      <c r="G15" s="92" t="inlineStr">
        <is>
          <t>44.6%</t>
        </is>
      </c>
      <c r="H15" s="210" t="inlineStr"/>
      <c r="I15" s="210" t="inlineStr"/>
      <c r="J15" s="210" t="inlineStr"/>
      <c r="K15" s="210" t="inlineStr"/>
      <c r="L15" s="210" t="inlineStr"/>
      <c r="M15" s="92">
        <f>AVERAGE(B15:M15)</f>
        <v/>
      </c>
      <c r="N15" s="92">
        <f>IFERROR(AVERAGE(B15:M15),"")</f>
        <v/>
      </c>
      <c r="O15" s="210" t="inlineStr"/>
    </row>
    <row r="16" ht="18" customHeight="1">
      <c r="A16" s="7" t="inlineStr">
        <is>
          <t>ACTIVE CLIENTS</t>
        </is>
      </c>
      <c r="B16" s="212" t="inlineStr"/>
      <c r="C16" s="212" t="inlineStr"/>
      <c r="D16" s="212" t="inlineStr"/>
      <c r="E16" s="212" t="inlineStr"/>
      <c r="F16" s="212" t="inlineStr"/>
      <c r="G16" s="216" t="inlineStr">
        <is>
          <t>40</t>
        </is>
      </c>
      <c r="H16" s="212" t="inlineStr"/>
      <c r="I16" s="212" t="inlineStr"/>
      <c r="J16" s="212" t="inlineStr"/>
      <c r="K16" s="212" t="inlineStr"/>
      <c r="L16" s="212" t="inlineStr"/>
      <c r="M16" s="216">
        <f>SUM(B16:M16)</f>
        <v/>
      </c>
      <c r="N16" s="216">
        <f>IFERROR(AVERAGE(B16:M16),"")</f>
        <v/>
      </c>
      <c r="O16" s="212" t="inlineStr"/>
    </row>
    <row r="17" ht="18" customHeight="1">
      <c r="A17" s="9" t="inlineStr">
        <is>
          <t>COMMISSIONS OUT</t>
        </is>
      </c>
      <c r="B17" s="210" t="inlineStr"/>
      <c r="C17" s="210" t="inlineStr"/>
      <c r="D17" s="210" t="inlineStr"/>
      <c r="E17" s="210" t="inlineStr"/>
      <c r="F17" s="210" t="inlineStr"/>
      <c r="G17" s="92" t="inlineStr">
        <is>
          <t>$4,675</t>
        </is>
      </c>
      <c r="H17" s="210" t="inlineStr"/>
      <c r="I17" s="210" t="inlineStr"/>
      <c r="J17" s="210" t="inlineStr"/>
      <c r="K17" s="210" t="inlineStr"/>
      <c r="L17" s="210" t="inlineStr"/>
      <c r="M17" s="92">
        <f>SUM(B17:M17)</f>
        <v/>
      </c>
      <c r="N17" s="92">
        <f>IFERROR(AVERAGE(B17:M17),"")</f>
        <v/>
      </c>
      <c r="O17" s="210" t="inlineStr"/>
    </row>
    <row r="20" ht="20" customHeight="1">
      <c r="A20" s="4" t="inlineStr">
        <is>
          <t xml:space="preserve">  DEPARTMENT P&amp;L — MONTHLY COMPARISON</t>
        </is>
      </c>
    </row>
    <row r="21" ht="18" customHeight="1">
      <c r="A21" s="39" t="inlineStr">
        <is>
          <t>Department</t>
        </is>
      </c>
      <c r="B21" s="205" t="inlineStr">
        <is>
          <t>Jan</t>
        </is>
      </c>
      <c r="C21" s="205" t="inlineStr">
        <is>
          <t>Feb</t>
        </is>
      </c>
      <c r="D21" s="205" t="inlineStr">
        <is>
          <t>Mar</t>
        </is>
      </c>
      <c r="E21" s="205" t="inlineStr">
        <is>
          <t>Apr</t>
        </is>
      </c>
      <c r="F21" s="205" t="inlineStr">
        <is>
          <t>May</t>
        </is>
      </c>
      <c r="G21" s="205" t="inlineStr">
        <is>
          <t>Jun</t>
        </is>
      </c>
      <c r="H21" s="205" t="inlineStr">
        <is>
          <t>Jul</t>
        </is>
      </c>
      <c r="I21" s="205" t="inlineStr">
        <is>
          <t>Aug</t>
        </is>
      </c>
      <c r="J21" s="205" t="inlineStr">
        <is>
          <t>Sep</t>
        </is>
      </c>
      <c r="K21" s="205" t="inlineStr">
        <is>
          <t>Oct</t>
        </is>
      </c>
      <c r="L21" s="205" t="inlineStr">
        <is>
          <t>Nov</t>
        </is>
      </c>
      <c r="M21" s="205" t="inlineStr">
        <is>
          <t>Dec</t>
        </is>
      </c>
      <c r="N21" s="205" t="inlineStr">
        <is>
          <t>TOTAL</t>
        </is>
      </c>
      <c r="O21" s="205" t="inlineStr">
        <is>
          <t>AVG</t>
        </is>
      </c>
    </row>
    <row r="22" ht="18" customHeight="1">
      <c r="A22" s="14" t="inlineStr">
        <is>
          <t>Talent Revenue</t>
        </is>
      </c>
      <c r="B22" s="212" t="inlineStr"/>
      <c r="C22" s="212" t="inlineStr"/>
      <c r="D22" s="212" t="inlineStr"/>
      <c r="E22" s="212" t="inlineStr"/>
      <c r="F22" s="212" t="inlineStr"/>
      <c r="G22" s="217" t="inlineStr">
        <is>
          <t>$130,250</t>
        </is>
      </c>
      <c r="H22" s="212" t="inlineStr"/>
      <c r="I22" s="212" t="inlineStr"/>
      <c r="J22" s="212" t="inlineStr"/>
      <c r="K22" s="212" t="inlineStr"/>
      <c r="L22" s="212" t="inlineStr"/>
      <c r="M22" s="212" t="inlineStr"/>
      <c r="N22" s="212" t="inlineStr"/>
      <c r="O22" s="212" t="inlineStr"/>
    </row>
    <row r="23" ht="18" customHeight="1">
      <c r="A23" s="218" t="inlineStr">
        <is>
          <t>Talent Cost</t>
        </is>
      </c>
      <c r="B23" s="210" t="inlineStr"/>
      <c r="C23" s="210" t="inlineStr"/>
      <c r="D23" s="210" t="inlineStr"/>
      <c r="E23" s="210" t="inlineStr"/>
      <c r="F23" s="210" t="inlineStr"/>
      <c r="G23" s="219" t="inlineStr">
        <is>
          <t>$54,921</t>
        </is>
      </c>
      <c r="H23" s="210" t="inlineStr"/>
      <c r="I23" s="210" t="inlineStr"/>
      <c r="J23" s="210" t="inlineStr"/>
      <c r="K23" s="210" t="inlineStr"/>
      <c r="L23" s="210" t="inlineStr"/>
      <c r="M23" s="210" t="inlineStr"/>
      <c r="N23" s="210" t="inlineStr"/>
      <c r="O23" s="210" t="inlineStr"/>
    </row>
    <row r="24" ht="18" customHeight="1">
      <c r="A24" s="10" t="inlineStr">
        <is>
          <t>Talent Margin</t>
        </is>
      </c>
      <c r="B24" s="212" t="inlineStr"/>
      <c r="C24" s="212" t="inlineStr"/>
      <c r="D24" s="212" t="inlineStr"/>
      <c r="E24" s="212" t="inlineStr"/>
      <c r="F24" s="212" t="inlineStr"/>
      <c r="G24" s="46" t="inlineStr">
        <is>
          <t>57.8%</t>
        </is>
      </c>
      <c r="H24" s="212" t="inlineStr"/>
      <c r="I24" s="212" t="inlineStr"/>
      <c r="J24" s="212" t="inlineStr"/>
      <c r="K24" s="212" t="inlineStr"/>
      <c r="L24" s="212" t="inlineStr"/>
      <c r="M24" s="212" t="inlineStr"/>
      <c r="N24" s="212" t="inlineStr"/>
      <c r="O24" s="212" t="inlineStr"/>
    </row>
    <row r="25" ht="18" customHeight="1">
      <c r="A25" s="220" t="inlineStr">
        <is>
          <t>Brands Revenue</t>
        </is>
      </c>
      <c r="B25" s="210" t="inlineStr"/>
      <c r="C25" s="210" t="inlineStr"/>
      <c r="D25" s="210" t="inlineStr"/>
      <c r="E25" s="210" t="inlineStr"/>
      <c r="F25" s="210" t="inlineStr"/>
      <c r="G25" s="221" t="inlineStr">
        <is>
          <t>$68,075</t>
        </is>
      </c>
      <c r="H25" s="210" t="inlineStr"/>
      <c r="I25" s="210" t="inlineStr"/>
      <c r="J25" s="210" t="inlineStr"/>
      <c r="K25" s="210" t="inlineStr"/>
      <c r="L25" s="210" t="inlineStr"/>
      <c r="M25" s="210" t="inlineStr"/>
      <c r="N25" s="210" t="inlineStr"/>
      <c r="O25" s="210" t="inlineStr"/>
    </row>
    <row r="26" ht="18" customHeight="1">
      <c r="A26" s="222" t="inlineStr">
        <is>
          <t>Brands Cost</t>
        </is>
      </c>
      <c r="B26" s="212" t="inlineStr"/>
      <c r="C26" s="212" t="inlineStr"/>
      <c r="D26" s="212" t="inlineStr"/>
      <c r="E26" s="212" t="inlineStr"/>
      <c r="F26" s="212" t="inlineStr"/>
      <c r="G26" s="223" t="inlineStr">
        <is>
          <t>$30,187</t>
        </is>
      </c>
      <c r="H26" s="212" t="inlineStr"/>
      <c r="I26" s="212" t="inlineStr"/>
      <c r="J26" s="212" t="inlineStr"/>
      <c r="K26" s="212" t="inlineStr"/>
      <c r="L26" s="212" t="inlineStr"/>
      <c r="M26" s="212" t="inlineStr"/>
      <c r="N26" s="212" t="inlineStr"/>
      <c r="O26" s="212" t="inlineStr"/>
    </row>
    <row r="27" ht="18" customHeight="1">
      <c r="A27" s="224" t="inlineStr">
        <is>
          <t>Brands Margin</t>
        </is>
      </c>
      <c r="B27" s="210" t="inlineStr"/>
      <c r="C27" s="210" t="inlineStr"/>
      <c r="D27" s="210" t="inlineStr"/>
      <c r="E27" s="210" t="inlineStr"/>
      <c r="F27" s="210" t="inlineStr"/>
      <c r="G27" s="61" t="inlineStr">
        <is>
          <t>55.7%</t>
        </is>
      </c>
      <c r="H27" s="210" t="inlineStr"/>
      <c r="I27" s="210" t="inlineStr"/>
      <c r="J27" s="210" t="inlineStr"/>
      <c r="K27" s="210" t="inlineStr"/>
      <c r="L27" s="210" t="inlineStr"/>
      <c r="M27" s="210" t="inlineStr"/>
      <c r="N27" s="210" t="inlineStr"/>
      <c r="O27" s="210" t="inlineStr"/>
    </row>
    <row r="28" ht="18" customHeight="1">
      <c r="A28" s="225" t="inlineStr">
        <is>
          <t>Socials Revenue</t>
        </is>
      </c>
      <c r="B28" s="212" t="inlineStr"/>
      <c r="C28" s="212" t="inlineStr"/>
      <c r="D28" s="212" t="inlineStr"/>
      <c r="E28" s="212" t="inlineStr"/>
      <c r="F28" s="212" t="inlineStr"/>
      <c r="G28" s="226" t="inlineStr">
        <is>
          <t>$1,800</t>
        </is>
      </c>
      <c r="H28" s="212" t="inlineStr"/>
      <c r="I28" s="212" t="inlineStr"/>
      <c r="J28" s="212" t="inlineStr"/>
      <c r="K28" s="212" t="inlineStr"/>
      <c r="L28" s="212" t="inlineStr"/>
      <c r="M28" s="212" t="inlineStr"/>
      <c r="N28" s="212" t="inlineStr"/>
      <c r="O28" s="212" t="inlineStr"/>
    </row>
    <row r="29" ht="18" customHeight="1">
      <c r="A29" s="227" t="inlineStr">
        <is>
          <t>Socials Cost</t>
        </is>
      </c>
      <c r="B29" s="210" t="inlineStr"/>
      <c r="C29" s="210" t="inlineStr"/>
      <c r="D29" s="210" t="inlineStr"/>
      <c r="E29" s="210" t="inlineStr"/>
      <c r="F29" s="210" t="inlineStr"/>
      <c r="G29" s="115" t="inlineStr">
        <is>
          <t>$1,500</t>
        </is>
      </c>
      <c r="H29" s="210" t="inlineStr"/>
      <c r="I29" s="210" t="inlineStr"/>
      <c r="J29" s="210" t="inlineStr"/>
      <c r="K29" s="210" t="inlineStr"/>
      <c r="L29" s="210" t="inlineStr"/>
      <c r="M29" s="210" t="inlineStr"/>
      <c r="N29" s="210" t="inlineStr"/>
      <c r="O29" s="210" t="inlineStr"/>
    </row>
    <row r="32" ht="20" customHeight="1">
      <c r="A32" s="4" t="inlineStr">
        <is>
          <t xml:space="preserve">  SCENARIOS — REVENUE SENSITIVITY</t>
        </is>
      </c>
    </row>
    <row r="33" ht="18" customHeight="1">
      <c r="A33" s="39" t="inlineStr">
        <is>
          <t>Revenue Scenario</t>
        </is>
      </c>
      <c r="B33" s="40" t="inlineStr">
        <is>
          <t>Monthly Rev</t>
        </is>
      </c>
      <c r="C33" s="40" t="inlineStr">
        <is>
          <t>Total Expenses</t>
        </is>
      </c>
      <c r="D33" s="40" t="inlineStr">
        <is>
          <t>Net Profit</t>
        </is>
      </c>
      <c r="E33" s="40" t="inlineStr">
        <is>
          <t>Margin %</t>
        </is>
      </c>
      <c r="F33" s="40" t="inlineStr">
        <is>
          <t>vs Current</t>
        </is>
      </c>
    </row>
    <row r="34" ht="18" customHeight="1">
      <c r="A34" s="7" t="inlineStr">
        <is>
          <t>Goal (set 2026)</t>
        </is>
      </c>
      <c r="B34" s="228" t="inlineStr">
        <is>
          <t>$215,000</t>
        </is>
      </c>
      <c r="C34" s="44" t="inlineStr">
        <is>
          <t>$180,478</t>
        </is>
      </c>
      <c r="D34" s="46" t="inlineStr">
        <is>
          <t>$34,522</t>
        </is>
      </c>
      <c r="E34" s="228" t="inlineStr">
        <is>
          <t>16.1%</t>
        </is>
      </c>
      <c r="F34" s="69" t="inlineStr">
        <is>
          <t>−$57,125 vs actual</t>
        </is>
      </c>
    </row>
    <row r="35" ht="18" customHeight="1">
      <c r="A35" s="9" t="inlineStr">
        <is>
          <t>Breakeven</t>
        </is>
      </c>
      <c r="B35" s="229" t="inlineStr">
        <is>
          <t>$180,478</t>
        </is>
      </c>
      <c r="C35" s="50" t="inlineStr">
        <is>
          <t>$180,478</t>
        </is>
      </c>
      <c r="D35" s="219" t="inlineStr">
        <is>
          <t>$—</t>
        </is>
      </c>
      <c r="E35" s="229" t="inlineStr">
        <is>
          <t>0.0%</t>
        </is>
      </c>
      <c r="F35" s="74" t="inlineStr">
        <is>
          <t>−$91,647 vs actual</t>
        </is>
      </c>
    </row>
    <row r="36" ht="18" customHeight="1">
      <c r="A36" s="56" t="inlineStr">
        <is>
          <t>Current (Jun 2026)</t>
        </is>
      </c>
      <c r="B36" s="62" t="inlineStr">
        <is>
          <t>$272,125</t>
        </is>
      </c>
      <c r="C36" s="230" t="inlineStr">
        <is>
          <t>$180,478</t>
        </is>
      </c>
      <c r="D36" s="62" t="inlineStr">
        <is>
          <t>$91,647</t>
        </is>
      </c>
      <c r="E36" s="62" t="inlineStr">
        <is>
          <t>33.7%</t>
        </is>
      </c>
      <c r="F36" s="231" t="inlineStr">
        <is>
          <t>↑ Actual</t>
        </is>
      </c>
    </row>
    <row r="37" ht="18" customHeight="1">
      <c r="A37" s="9" t="inlineStr">
        <is>
          <t>+5 clients @ $5K</t>
        </is>
      </c>
      <c r="B37" s="82" t="inlineStr">
        <is>
          <t>$297,125</t>
        </is>
      </c>
      <c r="C37" s="50" t="inlineStr">
        <is>
          <t>$180,478</t>
        </is>
      </c>
      <c r="D37" s="61" t="inlineStr">
        <is>
          <t>$116,647</t>
        </is>
      </c>
      <c r="E37" s="82" t="inlineStr">
        <is>
          <t>39.3%</t>
        </is>
      </c>
      <c r="F37" s="74" t="inlineStr">
        <is>
          <t>+$25,000</t>
        </is>
      </c>
    </row>
    <row r="38" ht="18" customHeight="1">
      <c r="A38" s="7" t="inlineStr">
        <is>
          <t>−$30K departures</t>
        </is>
      </c>
      <c r="B38" s="228" t="inlineStr">
        <is>
          <t>$242,125</t>
        </is>
      </c>
      <c r="C38" s="44" t="inlineStr">
        <is>
          <t>$180,478</t>
        </is>
      </c>
      <c r="D38" s="46" t="inlineStr">
        <is>
          <t>$61,647</t>
        </is>
      </c>
      <c r="E38" s="228" t="inlineStr">
        <is>
          <t>25.5%</t>
        </is>
      </c>
      <c r="F38" s="69" t="inlineStr">
        <is>
          <t>−$30,000</t>
        </is>
      </c>
    </row>
  </sheetData>
  <mergeCells count="6">
    <mergeCell ref="A3:N3"/>
    <mergeCell ref="A4:N4"/>
    <mergeCell ref="A20:N20"/>
    <mergeCell ref="A2:N2"/>
    <mergeCell ref="A32:N3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07D8B"/>
    <outlinePr summaryBelow="1" summaryRight="1"/>
    <pageSetUpPr/>
  </sheetPr>
  <dimension ref="A1:L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2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  <col width="16" customWidth="1" min="11" max="11"/>
    <col width="30" customWidth="1" min="12" max="12"/>
  </cols>
  <sheetData>
    <row r="1" ht="40" customHeight="1">
      <c r="A1" s="1" t="inlineStr">
        <is>
          <t xml:space="preserve">  DATA — Master Source of Truth</t>
        </is>
      </c>
    </row>
    <row r="2" ht="18" customHeight="1">
      <c r="A2" s="2" t="inlineStr">
        <is>
          <t xml:space="preserve">  ⚠  This tab is the engine. Update here only. All other tabs read from this data.  ·  Haley / Emily edit access only.</t>
        </is>
      </c>
    </row>
    <row r="3" ht="6" customHeight="1">
      <c r="A3" s="3" t="inlineStr"/>
    </row>
    <row r="4" ht="20" customHeight="1">
      <c r="A4" s="4" t="inlineStr">
        <is>
          <t xml:space="preserve">  tbl_Clients — ALL CLIENTS (Talent + Brands + Socials)</t>
        </is>
      </c>
    </row>
    <row r="5" ht="18" customHeight="1">
      <c r="A5" s="39" t="inlineStr">
        <is>
          <t>Client Name</t>
        </is>
      </c>
      <c r="B5" s="39" t="inlineStr">
        <is>
          <t>Division</t>
        </is>
      </c>
      <c r="C5" s="39" t="inlineStr">
        <is>
          <t>Pod / AE Lead</t>
        </is>
      </c>
      <c r="D5" s="39" t="inlineStr">
        <is>
          <t>Retainer/Mo</t>
        </is>
      </c>
      <c r="E5" s="39" t="inlineStr">
        <is>
          <t>Status</t>
        </is>
      </c>
      <c r="F5" s="39" t="inlineStr">
        <is>
          <t>Contract</t>
        </is>
      </c>
      <c r="G5" s="39" t="inlineStr">
        <is>
          <t>Start Date</t>
        </is>
      </c>
      <c r="H5" s="39" t="inlineStr">
        <is>
          <t>Commission To</t>
        </is>
      </c>
      <c r="I5" s="39" t="inlineStr">
        <is>
          <t>Comm/Mo</t>
        </is>
      </c>
      <c r="J5" s="39" t="inlineStr">
        <is>
          <t>Contract End</t>
        </is>
      </c>
      <c r="K5" s="39" t="inlineStr">
        <is>
          <t>Type</t>
        </is>
      </c>
      <c r="L5" s="39" t="inlineStr">
        <is>
          <t>Notes</t>
        </is>
      </c>
    </row>
    <row r="6" ht="17" customHeight="1">
      <c r="A6" s="64" t="inlineStr">
        <is>
          <t>Spencer Pratt</t>
        </is>
      </c>
      <c r="B6" s="7" t="inlineStr">
        <is>
          <t>Talent</t>
        </is>
      </c>
      <c r="C6" s="7" t="inlineStr">
        <is>
          <t>Entertainment</t>
        </is>
      </c>
      <c r="D6" s="232" t="n">
        <v>7500</v>
      </c>
      <c r="E6" s="233" t="inlineStr">
        <is>
          <t>Active</t>
        </is>
      </c>
      <c r="F6" s="7" t="inlineStr">
        <is>
          <t>MTM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Active</t>
        </is>
      </c>
      <c r="K6" s="7" t="inlineStr">
        <is>
          <t>Retainer</t>
        </is>
      </c>
      <c r="L6" s="7" t="inlineStr">
        <is>
          <t>LA Mayoral Campaign</t>
        </is>
      </c>
    </row>
    <row r="7" ht="17" customHeight="1">
      <c r="A7" s="76" t="inlineStr">
        <is>
          <t>Kim Gravel</t>
        </is>
      </c>
      <c r="B7" s="9" t="inlineStr">
        <is>
          <t>Talent</t>
        </is>
      </c>
      <c r="C7" s="9" t="inlineStr">
        <is>
          <t>Entertainment</t>
        </is>
      </c>
      <c r="D7" s="234" t="n">
        <v>5000</v>
      </c>
      <c r="E7" s="233" t="inlineStr">
        <is>
          <t>Active</t>
        </is>
      </c>
      <c r="F7" s="9" t="inlineStr">
        <is>
          <t>MTM</t>
        </is>
      </c>
      <c r="G7" s="9" t="inlineStr">
        <is>
          <t>—</t>
        </is>
      </c>
      <c r="H7" s="9" t="inlineStr">
        <is>
          <t>Vic</t>
        </is>
      </c>
      <c r="I7" s="9" t="n">
        <v>1000</v>
      </c>
      <c r="J7" s="9" t="inlineStr">
        <is>
          <t>Active</t>
        </is>
      </c>
      <c r="K7" s="9" t="inlineStr">
        <is>
          <t>Retainer</t>
        </is>
      </c>
      <c r="L7" s="9" t="inlineStr">
        <is>
          <t>—</t>
        </is>
      </c>
    </row>
    <row r="8" ht="17" customHeight="1">
      <c r="A8" s="64" t="inlineStr">
        <is>
          <t>Gia Giudice</t>
        </is>
      </c>
      <c r="B8" s="7" t="inlineStr">
        <is>
          <t>Talent</t>
        </is>
      </c>
      <c r="C8" s="7" t="inlineStr">
        <is>
          <t>Entertainment</t>
        </is>
      </c>
      <c r="D8" s="232" t="n">
        <v>5000</v>
      </c>
      <c r="E8" s="233" t="inlineStr">
        <is>
          <t>Active</t>
        </is>
      </c>
      <c r="F8" s="7" t="inlineStr">
        <is>
          <t>3 then MTM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Active</t>
        </is>
      </c>
      <c r="K8" s="7" t="inlineStr">
        <is>
          <t>Retainer</t>
        </is>
      </c>
      <c r="L8" s="7" t="inlineStr">
        <is>
          <t>x Lucky Honey Espresso Edit</t>
        </is>
      </c>
    </row>
    <row r="9" ht="17" customHeight="1">
      <c r="A9" s="76" t="inlineStr">
        <is>
          <t>QUICI Media Holdings (Cara)</t>
        </is>
      </c>
      <c r="B9" s="9" t="inlineStr">
        <is>
          <t>Talent</t>
        </is>
      </c>
      <c r="C9" s="9" t="inlineStr">
        <is>
          <t>Entertainment</t>
        </is>
      </c>
      <c r="D9" s="234" t="n">
        <v>4500</v>
      </c>
      <c r="E9" s="233" t="inlineStr">
        <is>
          <t>Active</t>
        </is>
      </c>
      <c r="F9" s="9" t="inlineStr">
        <is>
          <t>3 months</t>
        </is>
      </c>
      <c r="G9" s="9" t="inlineStr">
        <is>
          <t>—</t>
        </is>
      </c>
      <c r="H9" s="9" t="inlineStr">
        <is>
          <t>—</t>
        </is>
      </c>
      <c r="I9" s="9" t="inlineStr">
        <is>
          <t>—</t>
        </is>
      </c>
      <c r="J9" s="9" t="inlineStr">
        <is>
          <t>Active</t>
        </is>
      </c>
      <c r="K9" s="9" t="inlineStr">
        <is>
          <t>Retainer</t>
        </is>
      </c>
      <c r="L9" s="9" t="inlineStr">
        <is>
          <t>—</t>
        </is>
      </c>
    </row>
    <row r="10" ht="17" customHeight="1">
      <c r="A10" s="64" t="inlineStr">
        <is>
          <t>Spill Sesh (Kristi Cook)</t>
        </is>
      </c>
      <c r="B10" s="7" t="inlineStr">
        <is>
          <t>Talent</t>
        </is>
      </c>
      <c r="C10" s="7" t="inlineStr">
        <is>
          <t>Entertainment</t>
        </is>
      </c>
      <c r="D10" s="232" t="n">
        <v>4500</v>
      </c>
      <c r="E10" s="233" t="inlineStr">
        <is>
          <t>Active</t>
        </is>
      </c>
      <c r="F10" s="7" t="inlineStr">
        <is>
          <t>MTM</t>
        </is>
      </c>
      <c r="G10" s="7" t="inlineStr">
        <is>
          <t>—</t>
        </is>
      </c>
      <c r="H10" s="7" t="inlineStr">
        <is>
          <t>Julia</t>
        </is>
      </c>
      <c r="I10" s="7" t="n">
        <v>500</v>
      </c>
      <c r="J10" s="7" t="inlineStr">
        <is>
          <t>Active</t>
        </is>
      </c>
      <c r="K10" s="7" t="inlineStr">
        <is>
          <t>Retainer</t>
        </is>
      </c>
      <c r="L10" s="7" t="inlineStr">
        <is>
          <t>—</t>
        </is>
      </c>
    </row>
    <row r="11" ht="17" customHeight="1">
      <c r="A11" s="76" t="inlineStr">
        <is>
          <t>Kat Velasco</t>
        </is>
      </c>
      <c r="B11" s="9" t="inlineStr">
        <is>
          <t>Talent</t>
        </is>
      </c>
      <c r="C11" s="9" t="inlineStr">
        <is>
          <t>Entertainment</t>
        </is>
      </c>
      <c r="D11" s="234" t="n">
        <v>4500</v>
      </c>
      <c r="E11" s="233" t="inlineStr">
        <is>
          <t>Active</t>
        </is>
      </c>
      <c r="F11" s="9" t="inlineStr">
        <is>
          <t>3 months</t>
        </is>
      </c>
      <c r="G11" s="9" t="inlineStr">
        <is>
          <t>—</t>
        </is>
      </c>
      <c r="H11" s="9" t="inlineStr">
        <is>
          <t>Lexi Pulling</t>
        </is>
      </c>
      <c r="I11" s="9" t="n">
        <v>500</v>
      </c>
      <c r="J11" s="9" t="inlineStr">
        <is>
          <t>Active</t>
        </is>
      </c>
      <c r="K11" s="9" t="inlineStr">
        <is>
          <t>Retainer</t>
        </is>
      </c>
      <c r="L11" s="9" t="inlineStr">
        <is>
          <t>—</t>
        </is>
      </c>
    </row>
    <row r="12" ht="17" customHeight="1">
      <c r="A12" s="64" t="inlineStr">
        <is>
          <t>Terry Dubrow</t>
        </is>
      </c>
      <c r="B12" s="7" t="inlineStr">
        <is>
          <t>Talent</t>
        </is>
      </c>
      <c r="C12" s="7" t="inlineStr">
        <is>
          <t>Beauty &amp; Fashion</t>
        </is>
      </c>
      <c r="D12" s="232" t="n">
        <v>5000</v>
      </c>
      <c r="E12" s="233" t="inlineStr">
        <is>
          <t>Active</t>
        </is>
      </c>
      <c r="F12" s="7" t="inlineStr">
        <is>
          <t>2 months</t>
        </is>
      </c>
      <c r="G12" s="7" t="inlineStr">
        <is>
          <t>—</t>
        </is>
      </c>
      <c r="H12" s="7" t="inlineStr">
        <is>
          <t>Vic</t>
        </is>
      </c>
      <c r="I12" s="7" t="n">
        <v>1000</v>
      </c>
      <c r="J12" s="7" t="inlineStr">
        <is>
          <t>Active</t>
        </is>
      </c>
      <c r="K12" s="7" t="inlineStr">
        <is>
          <t>Retainer</t>
        </is>
      </c>
      <c r="L12" s="7" t="inlineStr">
        <is>
          <t>—</t>
        </is>
      </c>
    </row>
    <row r="13" ht="17" customHeight="1">
      <c r="A13" s="76" t="inlineStr">
        <is>
          <t>Amanda Frances</t>
        </is>
      </c>
      <c r="B13" s="9" t="inlineStr">
        <is>
          <t>Talent</t>
        </is>
      </c>
      <c r="C13" s="9" t="inlineStr">
        <is>
          <t>Beauty &amp; Fashion</t>
        </is>
      </c>
      <c r="D13" s="234" t="n">
        <v>5000</v>
      </c>
      <c r="E13" s="233" t="inlineStr">
        <is>
          <t>Active</t>
        </is>
      </c>
      <c r="F13" s="9" t="inlineStr">
        <is>
          <t>6 then MTM</t>
        </is>
      </c>
      <c r="G13" s="9" t="inlineStr">
        <is>
          <t>—</t>
        </is>
      </c>
      <c r="H13" s="9" t="inlineStr">
        <is>
          <t>—</t>
        </is>
      </c>
      <c r="I13" s="9" t="inlineStr">
        <is>
          <t>—</t>
        </is>
      </c>
      <c r="J13" s="9" t="inlineStr">
        <is>
          <t>Active</t>
        </is>
      </c>
      <c r="K13" s="9" t="inlineStr">
        <is>
          <t>Retainer</t>
        </is>
      </c>
      <c r="L13" s="9" t="inlineStr">
        <is>
          <t>—</t>
        </is>
      </c>
    </row>
    <row r="14" ht="17" customHeight="1">
      <c r="A14" s="64" t="inlineStr">
        <is>
          <t>Miranda McKeon</t>
        </is>
      </c>
      <c r="B14" s="7" t="inlineStr">
        <is>
          <t>Talent</t>
        </is>
      </c>
      <c r="C14" s="7" t="inlineStr">
        <is>
          <t>Beauty &amp; Fashion</t>
        </is>
      </c>
      <c r="D14" s="232" t="n">
        <v>4000</v>
      </c>
      <c r="E14" s="233" t="inlineStr">
        <is>
          <t>Active</t>
        </is>
      </c>
      <c r="F14" s="7" t="inlineStr">
        <is>
          <t>6 then MTM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—</t>
        </is>
      </c>
      <c r="J14" s="7" t="inlineStr">
        <is>
          <t>Active</t>
        </is>
      </c>
      <c r="K14" s="7" t="inlineStr">
        <is>
          <t>Retainer</t>
        </is>
      </c>
      <c r="L14" s="7" t="inlineStr">
        <is>
          <t>Post-chemo hair + Women's Health Month</t>
        </is>
      </c>
    </row>
    <row r="15" ht="17" customHeight="1">
      <c r="A15" s="76" t="inlineStr">
        <is>
          <t>Melinda Melrose</t>
        </is>
      </c>
      <c r="B15" s="9" t="inlineStr">
        <is>
          <t>Talent</t>
        </is>
      </c>
      <c r="C15" s="9" t="inlineStr">
        <is>
          <t>Beauty &amp; Fashion</t>
        </is>
      </c>
      <c r="D15" s="234" t="n">
        <v>4500</v>
      </c>
      <c r="E15" s="233" t="inlineStr">
        <is>
          <t>Active</t>
        </is>
      </c>
      <c r="F15" s="9" t="inlineStr">
        <is>
          <t>3 months</t>
        </is>
      </c>
      <c r="G15" s="9" t="inlineStr">
        <is>
          <t>—</t>
        </is>
      </c>
      <c r="H15" s="9" t="inlineStr">
        <is>
          <t>Anita</t>
        </is>
      </c>
      <c r="I15" s="9" t="n">
        <v>500</v>
      </c>
      <c r="J15" s="9" t="inlineStr">
        <is>
          <t>Active</t>
        </is>
      </c>
      <c r="K15" s="9" t="inlineStr">
        <is>
          <t>Retainer</t>
        </is>
      </c>
      <c r="L15" s="9" t="inlineStr">
        <is>
          <t>D&amp;G Global Makeup Expert 2026</t>
        </is>
      </c>
    </row>
    <row r="16" ht="17" customHeight="1">
      <c r="A16" s="64" t="inlineStr">
        <is>
          <t>Allie Eklund</t>
        </is>
      </c>
      <c r="B16" s="7" t="inlineStr">
        <is>
          <t>Talent</t>
        </is>
      </c>
      <c r="C16" s="7" t="inlineStr">
        <is>
          <t>Beauty &amp; Fashion</t>
        </is>
      </c>
      <c r="D16" s="232" t="n">
        <v>4500</v>
      </c>
      <c r="E16" s="233" t="inlineStr">
        <is>
          <t>Active</t>
        </is>
      </c>
      <c r="F16" s="7" t="inlineStr">
        <is>
          <t>3 then MTM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Active</t>
        </is>
      </c>
      <c r="K16" s="7" t="inlineStr">
        <is>
          <t>Retainer</t>
        </is>
      </c>
      <c r="L16" s="7" t="inlineStr">
        <is>
          <t>—</t>
        </is>
      </c>
    </row>
    <row r="17" ht="17" customHeight="1">
      <c r="A17" s="76" t="inlineStr">
        <is>
          <t>Violet Witchel</t>
        </is>
      </c>
      <c r="B17" s="9" t="inlineStr">
        <is>
          <t>Talent</t>
        </is>
      </c>
      <c r="C17" s="9" t="inlineStr">
        <is>
          <t>Creator</t>
        </is>
      </c>
      <c r="D17" s="234" t="n">
        <v>5000</v>
      </c>
      <c r="E17" s="233" t="inlineStr">
        <is>
          <t>Active</t>
        </is>
      </c>
      <c r="F17" s="9" t="inlineStr">
        <is>
          <t>3 then MTM</t>
        </is>
      </c>
      <c r="G17" s="9" t="inlineStr">
        <is>
          <t>—</t>
        </is>
      </c>
      <c r="H17" s="9" t="inlineStr">
        <is>
          <t>—</t>
        </is>
      </c>
      <c r="I17" s="9" t="inlineStr">
        <is>
          <t>—</t>
        </is>
      </c>
      <c r="J17" s="9" t="inlineStr">
        <is>
          <t>Active</t>
        </is>
      </c>
      <c r="K17" s="9" t="inlineStr">
        <is>
          <t>Retainer</t>
        </is>
      </c>
      <c r="L17" s="9" t="inlineStr">
        <is>
          <t>Viral dot cake + NY pop-up</t>
        </is>
      </c>
    </row>
    <row r="18" ht="17" customHeight="1">
      <c r="A18" s="64" t="inlineStr">
        <is>
          <t>G&amp;B Digital Management</t>
        </is>
      </c>
      <c r="B18" s="7" t="inlineStr">
        <is>
          <t>Talent</t>
        </is>
      </c>
      <c r="C18" s="7" t="inlineStr">
        <is>
          <t>Creator</t>
        </is>
      </c>
      <c r="D18" s="232" t="n">
        <v>5000</v>
      </c>
      <c r="E18" s="233" t="inlineStr">
        <is>
          <t>Active</t>
        </is>
      </c>
      <c r="F18" s="7" t="inlineStr">
        <is>
          <t>6 then MTM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Active</t>
        </is>
      </c>
      <c r="K18" s="7" t="inlineStr">
        <is>
          <t>Retainer</t>
        </is>
      </c>
      <c r="L18" s="7" t="inlineStr">
        <is>
          <t>Studio launch + UK hire</t>
        </is>
      </c>
    </row>
    <row r="19" ht="17" customHeight="1">
      <c r="A19" s="76" t="inlineStr">
        <is>
          <t>Asante Madrigal</t>
        </is>
      </c>
      <c r="B19" s="9" t="inlineStr">
        <is>
          <t>Talent</t>
        </is>
      </c>
      <c r="C19" s="9" t="inlineStr">
        <is>
          <t>Creator</t>
        </is>
      </c>
      <c r="D19" s="234" t="n">
        <v>5000</v>
      </c>
      <c r="E19" s="233" t="inlineStr">
        <is>
          <t>Active</t>
        </is>
      </c>
      <c r="F19" s="9" t="inlineStr">
        <is>
          <t>3 then MTM</t>
        </is>
      </c>
      <c r="G19" s="9" t="inlineStr">
        <is>
          <t>—</t>
        </is>
      </c>
      <c r="H19" s="9" t="inlineStr">
        <is>
          <t>—</t>
        </is>
      </c>
      <c r="I19" s="9" t="inlineStr">
        <is>
          <t>—</t>
        </is>
      </c>
      <c r="J19" s="9" t="inlineStr">
        <is>
          <t>Active</t>
        </is>
      </c>
      <c r="K19" s="9" t="inlineStr">
        <is>
          <t>Retainer</t>
        </is>
      </c>
      <c r="L19" s="9" t="inlineStr">
        <is>
          <t>NEW — started 5/26/26</t>
        </is>
      </c>
    </row>
    <row r="20" ht="17" customHeight="1">
      <c r="A20" s="64" t="inlineStr">
        <is>
          <t>Sophie Saint Marjan</t>
        </is>
      </c>
      <c r="B20" s="7" t="inlineStr">
        <is>
          <t>Talent</t>
        </is>
      </c>
      <c r="C20" s="7" t="inlineStr">
        <is>
          <t>Creator</t>
        </is>
      </c>
      <c r="D20" s="232" t="n">
        <v>4500</v>
      </c>
      <c r="E20" s="233" t="inlineStr">
        <is>
          <t>Active</t>
        </is>
      </c>
      <c r="F20" s="7" t="inlineStr">
        <is>
          <t>MTM</t>
        </is>
      </c>
      <c r="G20" s="7" t="inlineStr">
        <is>
          <t>—</t>
        </is>
      </c>
      <c r="H20" s="7" t="inlineStr">
        <is>
          <t>Anne</t>
        </is>
      </c>
      <c r="I20" s="7" t="n">
        <v>500</v>
      </c>
      <c r="J20" s="7" t="inlineStr">
        <is>
          <t>Active</t>
        </is>
      </c>
      <c r="K20" s="7" t="inlineStr">
        <is>
          <t>Retainer</t>
        </is>
      </c>
      <c r="L20" s="7" t="inlineStr">
        <is>
          <t>BizWomen features</t>
        </is>
      </c>
    </row>
    <row r="21" ht="17" customHeight="1">
      <c r="A21" s="76" t="inlineStr">
        <is>
          <t>Jamie Milne</t>
        </is>
      </c>
      <c r="B21" s="9" t="inlineStr">
        <is>
          <t>Talent</t>
        </is>
      </c>
      <c r="C21" s="9" t="inlineStr">
        <is>
          <t>Creator</t>
        </is>
      </c>
      <c r="D21" s="234" t="n">
        <v>4500</v>
      </c>
      <c r="E21" s="233" t="inlineStr">
        <is>
          <t>Active</t>
        </is>
      </c>
      <c r="F21" s="9" t="inlineStr">
        <is>
          <t>MTM</t>
        </is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  <c r="J21" s="9" t="inlineStr">
        <is>
          <t>Active</t>
        </is>
      </c>
      <c r="K21" s="9" t="inlineStr">
        <is>
          <t>Retainer</t>
        </is>
      </c>
      <c r="L21" s="9" t="inlineStr">
        <is>
          <t>Snack dinner + mocktails</t>
        </is>
      </c>
    </row>
    <row r="22" ht="17" customHeight="1">
      <c r="A22" s="64" t="inlineStr">
        <is>
          <t>Shelton Wilder</t>
        </is>
      </c>
      <c r="B22" s="7" t="inlineStr">
        <is>
          <t>Talent</t>
        </is>
      </c>
      <c r="C22" s="7" t="inlineStr">
        <is>
          <t>Creator</t>
        </is>
      </c>
      <c r="D22" s="232" t="n">
        <v>4500</v>
      </c>
      <c r="E22" s="233" t="inlineStr">
        <is>
          <t>Active</t>
        </is>
      </c>
      <c r="F22" s="7" t="inlineStr">
        <is>
          <t>3 then MTM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Active</t>
        </is>
      </c>
      <c r="K22" s="7" t="inlineStr">
        <is>
          <t>Retainer</t>
        </is>
      </c>
      <c r="L22" s="7" t="inlineStr">
        <is>
          <t>Summer listings angles</t>
        </is>
      </c>
    </row>
    <row r="23" ht="17" customHeight="1">
      <c r="A23" s="76" t="inlineStr">
        <is>
          <t>Brittny Button</t>
        </is>
      </c>
      <c r="B23" s="9" t="inlineStr">
        <is>
          <t>Talent</t>
        </is>
      </c>
      <c r="C23" s="9" t="inlineStr">
        <is>
          <t>Creator</t>
        </is>
      </c>
      <c r="D23" s="234" t="n">
        <v>4000</v>
      </c>
      <c r="E23" s="233" t="inlineStr">
        <is>
          <t>Active</t>
        </is>
      </c>
      <c r="F23" s="9" t="inlineStr">
        <is>
          <t>MTM</t>
        </is>
      </c>
      <c r="G23" s="9" t="inlineStr">
        <is>
          <t>—</t>
        </is>
      </c>
      <c r="H23" s="9" t="inlineStr">
        <is>
          <t>—</t>
        </is>
      </c>
      <c r="I23" s="9" t="inlineStr">
        <is>
          <t>—</t>
        </is>
      </c>
      <c r="J23" s="9" t="inlineStr">
        <is>
          <t>Active</t>
        </is>
      </c>
      <c r="K23" s="9" t="inlineStr">
        <is>
          <t>Retainer</t>
        </is>
      </c>
      <c r="L23" s="9" t="inlineStr">
        <is>
          <t>Monaco GP GRWM — Paris-based</t>
        </is>
      </c>
    </row>
    <row r="24" ht="17" customHeight="1">
      <c r="A24" s="64" t="inlineStr">
        <is>
          <t>Danielle Cohn</t>
        </is>
      </c>
      <c r="B24" s="7" t="inlineStr">
        <is>
          <t>Talent</t>
        </is>
      </c>
      <c r="C24" s="7" t="inlineStr">
        <is>
          <t>Creator</t>
        </is>
      </c>
      <c r="D24" s="232" t="n">
        <v>5000</v>
      </c>
      <c r="E24" s="235" t="inlineStr">
        <is>
          <t>Pro Bono</t>
        </is>
      </c>
      <c r="F24" s="7" t="inlineStr">
        <is>
          <t>PB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Active</t>
        </is>
      </c>
      <c r="K24" s="7" t="inlineStr">
        <is>
          <t>Retainer</t>
        </is>
      </c>
      <c r="L24" s="7" t="inlineStr">
        <is>
          <t>Started 4/20/26</t>
        </is>
      </c>
    </row>
    <row r="25" ht="17" customHeight="1">
      <c r="A25" s="76" t="inlineStr">
        <is>
          <t>Katie Austin</t>
        </is>
      </c>
      <c r="B25" s="9" t="inlineStr">
        <is>
          <t>Talent</t>
        </is>
      </c>
      <c r="C25" s="9" t="inlineStr">
        <is>
          <t>Athlete &amp; Fitness</t>
        </is>
      </c>
      <c r="D25" s="234" t="n">
        <v>4000</v>
      </c>
      <c r="E25" s="233" t="inlineStr">
        <is>
          <t>Active</t>
        </is>
      </c>
      <c r="F25" s="9" t="inlineStr">
        <is>
          <t>12 months</t>
        </is>
      </c>
      <c r="G25" s="9" t="inlineStr">
        <is>
          <t>—</t>
        </is>
      </c>
      <c r="H25" s="9" t="inlineStr">
        <is>
          <t>—</t>
        </is>
      </c>
      <c r="I25" s="9" t="inlineStr">
        <is>
          <t>—</t>
        </is>
      </c>
      <c r="J25" s="9" t="inlineStr">
        <is>
          <t>Active</t>
        </is>
      </c>
      <c r="K25" s="9" t="inlineStr">
        <is>
          <t>Retainer</t>
        </is>
      </c>
      <c r="L25" s="9" t="inlineStr">
        <is>
          <t>PEOPLE/SI Swim Week</t>
        </is>
      </c>
    </row>
    <row r="26" ht="17" customHeight="1">
      <c r="A26" s="64" t="inlineStr">
        <is>
          <t>Gabby George</t>
        </is>
      </c>
      <c r="B26" s="7" t="inlineStr">
        <is>
          <t>Talent</t>
        </is>
      </c>
      <c r="C26" s="7" t="inlineStr">
        <is>
          <t>Athlete &amp; Fitness</t>
        </is>
      </c>
      <c r="D26" s="232" t="n">
        <v>5000</v>
      </c>
      <c r="E26" s="233" t="inlineStr">
        <is>
          <t>Active</t>
        </is>
      </c>
      <c r="F26" s="7" t="inlineStr">
        <is>
          <t>6 then MTM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—</t>
        </is>
      </c>
      <c r="J26" s="7" t="inlineStr">
        <is>
          <t>Active</t>
        </is>
      </c>
      <c r="K26" s="7" t="inlineStr">
        <is>
          <t>Retainer</t>
        </is>
      </c>
      <c r="L26" s="7" t="inlineStr">
        <is>
          <t>—</t>
        </is>
      </c>
    </row>
    <row r="27" ht="17" customHeight="1">
      <c r="A27" s="76" t="inlineStr">
        <is>
          <t>Chase DeMoor</t>
        </is>
      </c>
      <c r="B27" s="9" t="inlineStr">
        <is>
          <t>Talent</t>
        </is>
      </c>
      <c r="C27" s="9" t="inlineStr">
        <is>
          <t>Athlete &amp; Fitness</t>
        </is>
      </c>
      <c r="D27" s="234" t="n">
        <v>4500</v>
      </c>
      <c r="E27" s="233" t="inlineStr">
        <is>
          <t>Active</t>
        </is>
      </c>
      <c r="F27" s="9" t="inlineStr">
        <is>
          <t>6 then MTM</t>
        </is>
      </c>
      <c r="G27" s="9" t="inlineStr">
        <is>
          <t>—</t>
        </is>
      </c>
      <c r="H27" s="9" t="inlineStr">
        <is>
          <t>—</t>
        </is>
      </c>
      <c r="I27" s="9" t="inlineStr">
        <is>
          <t>—</t>
        </is>
      </c>
      <c r="J27" s="9" t="inlineStr">
        <is>
          <t>Active</t>
        </is>
      </c>
      <c r="K27" s="9" t="inlineStr">
        <is>
          <t>Retainer</t>
        </is>
      </c>
      <c r="L27" s="9" t="inlineStr">
        <is>
          <t>—</t>
        </is>
      </c>
    </row>
    <row r="28" ht="17" customHeight="1">
      <c r="A28" s="64" t="inlineStr">
        <is>
          <t>Carson Roney</t>
        </is>
      </c>
      <c r="B28" s="7" t="inlineStr">
        <is>
          <t>Talent</t>
        </is>
      </c>
      <c r="C28" s="7" t="inlineStr">
        <is>
          <t>Athlete &amp; Fitness</t>
        </is>
      </c>
      <c r="D28" s="232" t="n">
        <v>4500</v>
      </c>
      <c r="E28" s="233" t="inlineStr">
        <is>
          <t>Active</t>
        </is>
      </c>
      <c r="F28" s="7" t="inlineStr">
        <is>
          <t>3 then MTM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—</t>
        </is>
      </c>
      <c r="J28" s="7" t="inlineStr">
        <is>
          <t>Active</t>
        </is>
      </c>
      <c r="K28" s="7" t="inlineStr">
        <is>
          <t>Retainer</t>
        </is>
      </c>
      <c r="L28" s="7" t="inlineStr">
        <is>
          <t>—</t>
        </is>
      </c>
    </row>
    <row r="29" ht="17" customHeight="1">
      <c r="A29" s="76" t="inlineStr">
        <is>
          <t>Kail Lowry</t>
        </is>
      </c>
      <c r="B29" s="9" t="inlineStr">
        <is>
          <t>Talent</t>
        </is>
      </c>
      <c r="C29" s="9" t="inlineStr">
        <is>
          <t>Athlete &amp; Fitness</t>
        </is>
      </c>
      <c r="D29" s="234" t="n">
        <v>4500</v>
      </c>
      <c r="E29" s="233" t="inlineStr">
        <is>
          <t>Active</t>
        </is>
      </c>
      <c r="F29" s="9" t="inlineStr">
        <is>
          <t>3 months</t>
        </is>
      </c>
      <c r="G29" s="9" t="inlineStr">
        <is>
          <t>—</t>
        </is>
      </c>
      <c r="H29" s="9" t="inlineStr">
        <is>
          <t>—</t>
        </is>
      </c>
      <c r="I29" s="9" t="inlineStr">
        <is>
          <t>—</t>
        </is>
      </c>
      <c r="J29" s="9" t="inlineStr">
        <is>
          <t>Active</t>
        </is>
      </c>
      <c r="K29" s="9" t="inlineStr">
        <is>
          <t>Retainer</t>
        </is>
      </c>
      <c r="L29" s="9" t="inlineStr">
        <is>
          <t>—</t>
        </is>
      </c>
    </row>
    <row r="30" ht="17" customHeight="1">
      <c r="A30" s="64" t="inlineStr">
        <is>
          <t>TJ Palma</t>
        </is>
      </c>
      <c r="B30" s="7" t="inlineStr">
        <is>
          <t>Talent</t>
        </is>
      </c>
      <c r="C30" s="7" t="inlineStr">
        <is>
          <t>Athlete &amp; Fitness</t>
        </is>
      </c>
      <c r="D30" s="232" t="n">
        <v>4500</v>
      </c>
      <c r="E30" s="233" t="inlineStr">
        <is>
          <t>Active</t>
        </is>
      </c>
      <c r="F30" s="7" t="inlineStr">
        <is>
          <t>3 then MTM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Active</t>
        </is>
      </c>
      <c r="K30" s="7" t="inlineStr">
        <is>
          <t>Retainer</t>
        </is>
      </c>
      <c r="L30" s="7" t="inlineStr">
        <is>
          <t>—</t>
        </is>
      </c>
    </row>
    <row r="31" ht="17" customHeight="1">
      <c r="A31" s="76" t="inlineStr">
        <is>
          <t>Aditi Shah</t>
        </is>
      </c>
      <c r="B31" s="9" t="inlineStr">
        <is>
          <t>Talent</t>
        </is>
      </c>
      <c r="C31" s="9" t="inlineStr">
        <is>
          <t>Athlete &amp; Fitness</t>
        </is>
      </c>
      <c r="D31" s="234" t="n">
        <v>4000</v>
      </c>
      <c r="E31" s="233" t="inlineStr">
        <is>
          <t>Active</t>
        </is>
      </c>
      <c r="F31" s="9" t="inlineStr">
        <is>
          <t>3 months</t>
        </is>
      </c>
      <c r="G31" s="9" t="inlineStr">
        <is>
          <t>—</t>
        </is>
      </c>
      <c r="H31" s="9" t="inlineStr">
        <is>
          <t>—</t>
        </is>
      </c>
      <c r="I31" s="9" t="inlineStr">
        <is>
          <t>—</t>
        </is>
      </c>
      <c r="J31" s="9" t="inlineStr">
        <is>
          <t>Active</t>
        </is>
      </c>
      <c r="K31" s="9" t="inlineStr">
        <is>
          <t>Retainer</t>
        </is>
      </c>
      <c r="L31" s="9" t="inlineStr">
        <is>
          <t>Intro rate</t>
        </is>
      </c>
    </row>
    <row r="32" ht="17" customHeight="1">
      <c r="A32" s="64" t="inlineStr">
        <is>
          <t>Millennial Entertainment</t>
        </is>
      </c>
      <c r="B32" s="7" t="inlineStr">
        <is>
          <t>Talent</t>
        </is>
      </c>
      <c r="C32" s="7" t="inlineStr">
        <is>
          <t>Athlete &amp; Fitness</t>
        </is>
      </c>
      <c r="D32" s="232" t="n">
        <v>3000</v>
      </c>
      <c r="E32" s="233" t="inlineStr">
        <is>
          <t>Active</t>
        </is>
      </c>
      <c r="F32" s="7" t="inlineStr">
        <is>
          <t>3 then MTM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Active</t>
        </is>
      </c>
      <c r="K32" s="7" t="inlineStr">
        <is>
          <t>Retainer</t>
        </is>
      </c>
      <c r="L32" s="7" t="inlineStr">
        <is>
          <t>—</t>
        </is>
      </c>
    </row>
    <row r="33" ht="17" customHeight="1">
      <c r="A33" s="76" t="inlineStr">
        <is>
          <t>Modeliste Magazine</t>
        </is>
      </c>
      <c r="B33" s="9" t="inlineStr">
        <is>
          <t>Talent</t>
        </is>
      </c>
      <c r="C33" s="9" t="inlineStr">
        <is>
          <t>Athlete &amp; Fitness</t>
        </is>
      </c>
      <c r="D33" s="234" t="inlineStr">
        <is>
          <t>—</t>
        </is>
      </c>
      <c r="E33" s="235" t="inlineStr">
        <is>
          <t>Pro Bono</t>
        </is>
      </c>
      <c r="F33" s="9" t="inlineStr">
        <is>
          <t>PB</t>
        </is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  <c r="J33" s="9" t="inlineStr">
        <is>
          <t>Active</t>
        </is>
      </c>
      <c r="K33" s="9" t="inlineStr">
        <is>
          <t>Retainer</t>
        </is>
      </c>
      <c r="L33" s="9" t="inlineStr">
        <is>
          <t>$7,500/cover secured</t>
        </is>
      </c>
    </row>
    <row r="34" ht="17" customHeight="1">
      <c r="A34" s="64" t="inlineStr">
        <is>
          <t>Susan Holmes McKagan</t>
        </is>
      </c>
      <c r="B34" s="7" t="inlineStr">
        <is>
          <t>Talent</t>
        </is>
      </c>
      <c r="C34" s="7" t="inlineStr">
        <is>
          <t>Beauty &amp; Fashion</t>
        </is>
      </c>
      <c r="D34" s="232" t="n">
        <v>5000</v>
      </c>
      <c r="E34" s="185" t="inlineStr">
        <is>
          <t>Departing</t>
        </is>
      </c>
      <c r="F34" s="7" t="inlineStr">
        <is>
          <t>3 then MTM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Departing</t>
        </is>
      </c>
      <c r="K34" s="7" t="inlineStr">
        <is>
          <t>Retainer</t>
        </is>
      </c>
      <c r="L34" s="7" t="inlineStr">
        <is>
          <t>Pausing 7/1 · UpDating $5K</t>
        </is>
      </c>
    </row>
    <row r="35" ht="17" customHeight="1">
      <c r="A35" s="76" t="inlineStr">
        <is>
          <t>Donni Davy</t>
        </is>
      </c>
      <c r="B35" s="9" t="inlineStr">
        <is>
          <t>Talent</t>
        </is>
      </c>
      <c r="C35" s="9" t="inlineStr">
        <is>
          <t>Beauty &amp; Fashion</t>
        </is>
      </c>
      <c r="D35" s="234" t="n">
        <v>5000</v>
      </c>
      <c r="E35" s="185" t="inlineStr">
        <is>
          <t>Departing</t>
        </is>
      </c>
      <c r="F35" s="9" t="inlineStr">
        <is>
          <t>A20 + ext</t>
        </is>
      </c>
      <c r="G35" s="9" t="inlineStr">
        <is>
          <t>—</t>
        </is>
      </c>
      <c r="H35" s="9" t="inlineStr">
        <is>
          <t>—</t>
        </is>
      </c>
      <c r="I35" s="9" t="inlineStr">
        <is>
          <t>—</t>
        </is>
      </c>
      <c r="J35" s="9" t="inlineStr">
        <is>
          <t>Departing</t>
        </is>
      </c>
      <c r="K35" s="9" t="inlineStr">
        <is>
          <t>Retainer</t>
        </is>
      </c>
      <c r="L35" s="9" t="inlineStr">
        <is>
          <t>Final 6/12/2026</t>
        </is>
      </c>
    </row>
    <row r="36" ht="17" customHeight="1">
      <c r="A36" s="64" t="inlineStr">
        <is>
          <t>Paige Lindgren</t>
        </is>
      </c>
      <c r="B36" s="7" t="inlineStr">
        <is>
          <t>Talent</t>
        </is>
      </c>
      <c r="C36" s="7" t="inlineStr">
        <is>
          <t>Creator</t>
        </is>
      </c>
      <c r="D36" s="232" t="n">
        <v>5000</v>
      </c>
      <c r="E36" s="185" t="inlineStr">
        <is>
          <t>Departing</t>
        </is>
      </c>
      <c r="F36" s="7" t="inlineStr">
        <is>
          <t>6 months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Departing</t>
        </is>
      </c>
      <c r="K36" s="7" t="inlineStr">
        <is>
          <t>Retainer</t>
        </is>
      </c>
      <c r="L36" s="7" t="inlineStr">
        <is>
          <t>⚠ Final 6/3/2026</t>
        </is>
      </c>
    </row>
    <row r="37" ht="17" customHeight="1">
      <c r="A37" s="76" t="inlineStr">
        <is>
          <t>Kai Stone</t>
        </is>
      </c>
      <c r="B37" s="9" t="inlineStr">
        <is>
          <t>Talent</t>
        </is>
      </c>
      <c r="C37" s="9" t="inlineStr">
        <is>
          <t>Creator</t>
        </is>
      </c>
      <c r="D37" s="234" t="n">
        <v>4250</v>
      </c>
      <c r="E37" s="185" t="inlineStr">
        <is>
          <t>Departing</t>
        </is>
      </c>
      <c r="F37" s="9" t="inlineStr">
        <is>
          <t>3 months</t>
        </is>
      </c>
      <c r="G37" s="9" t="inlineStr">
        <is>
          <t>—</t>
        </is>
      </c>
      <c r="H37" s="9" t="inlineStr">
        <is>
          <t>—</t>
        </is>
      </c>
      <c r="I37" s="9" t="inlineStr">
        <is>
          <t>—</t>
        </is>
      </c>
      <c r="J37" s="9" t="inlineStr">
        <is>
          <t>Departing</t>
        </is>
      </c>
      <c r="K37" s="9" t="inlineStr">
        <is>
          <t>Retainer</t>
        </is>
      </c>
      <c r="L37" s="9" t="inlineStr">
        <is>
          <t>Final 6/16/2026</t>
        </is>
      </c>
    </row>
    <row r="38" ht="17" customHeight="1">
      <c r="A38" s="64" t="inlineStr">
        <is>
          <t>Shop The Sample</t>
        </is>
      </c>
      <c r="B38" s="7" t="inlineStr">
        <is>
          <t>Brands</t>
        </is>
      </c>
      <c r="C38" s="7" t="inlineStr">
        <is>
          <t>Brands / Lindsey</t>
        </is>
      </c>
      <c r="D38" s="232" t="n">
        <v>12000</v>
      </c>
      <c r="E38" s="233" t="inlineStr">
        <is>
          <t>Active</t>
        </is>
      </c>
      <c r="F38" s="7" t="inlineStr">
        <is>
          <t>6 then MTM</t>
        </is>
      </c>
      <c r="G38" s="7" t="inlineStr">
        <is>
          <t>—</t>
        </is>
      </c>
      <c r="H38" s="7" t="inlineStr">
        <is>
          <t>Victoria</t>
        </is>
      </c>
      <c r="I38" s="7" t="n">
        <v>3000</v>
      </c>
      <c r="J38" s="7" t="inlineStr">
        <is>
          <t>Active</t>
        </is>
      </c>
      <c r="K38" s="7" t="inlineStr">
        <is>
          <t>Retainer</t>
        </is>
      </c>
      <c r="L38" s="7" t="inlineStr">
        <is>
          <t>LA Storefront opening pitch</t>
        </is>
      </c>
    </row>
    <row r="39" ht="17" customHeight="1">
      <c r="A39" s="76" t="inlineStr">
        <is>
          <t>Regen Therapy (Sanjiv Lal)</t>
        </is>
      </c>
      <c r="B39" s="9" t="inlineStr">
        <is>
          <t>Brands</t>
        </is>
      </c>
      <c r="C39" s="9" t="inlineStr">
        <is>
          <t>Brands / Lindsey</t>
        </is>
      </c>
      <c r="D39" s="234" t="n">
        <v>8500</v>
      </c>
      <c r="E39" s="233" t="inlineStr">
        <is>
          <t>Active</t>
        </is>
      </c>
      <c r="F39" s="9" t="inlineStr">
        <is>
          <t>3 then MTM</t>
        </is>
      </c>
      <c r="G39" s="9" t="inlineStr">
        <is>
          <t>—</t>
        </is>
      </c>
      <c r="H39" s="9" t="inlineStr">
        <is>
          <t>—</t>
        </is>
      </c>
      <c r="I39" s="9" t="inlineStr">
        <is>
          <t>—</t>
        </is>
      </c>
      <c r="J39" s="9" t="inlineStr">
        <is>
          <t>Active</t>
        </is>
      </c>
      <c r="K39" s="9" t="inlineStr">
        <is>
          <t>Retainer</t>
        </is>
      </c>
      <c r="L39" s="9" t="inlineStr">
        <is>
          <t>—</t>
        </is>
      </c>
    </row>
    <row r="40" ht="17" customHeight="1">
      <c r="A40" s="64" t="inlineStr">
        <is>
          <t>Bell Boy</t>
        </is>
      </c>
      <c r="B40" s="7" t="inlineStr">
        <is>
          <t>Brands</t>
        </is>
      </c>
      <c r="C40" s="7" t="inlineStr">
        <is>
          <t>Brands / Anne</t>
        </is>
      </c>
      <c r="D40" s="232" t="n">
        <v>7500</v>
      </c>
      <c r="E40" s="233" t="inlineStr">
        <is>
          <t>Active</t>
        </is>
      </c>
      <c r="F40" s="7" t="inlineStr">
        <is>
          <t>MTM</t>
        </is>
      </c>
      <c r="G40" s="7" t="inlineStr">
        <is>
          <t>—</t>
        </is>
      </c>
      <c r="H40" s="7" t="inlineStr">
        <is>
          <t>—</t>
        </is>
      </c>
      <c r="I40" s="7" t="inlineStr">
        <is>
          <t>—</t>
        </is>
      </c>
      <c r="J40" s="7" t="inlineStr">
        <is>
          <t>Active</t>
        </is>
      </c>
      <c r="K40" s="7" t="inlineStr">
        <is>
          <t>Retainer</t>
        </is>
      </c>
      <c r="L40" s="7" t="inlineStr">
        <is>
          <t>EMBARGO 6/21 — Caelynn Bell fashion</t>
        </is>
      </c>
    </row>
    <row r="41" ht="17" customHeight="1">
      <c r="A41" s="76" t="inlineStr">
        <is>
          <t>Dolce Glow x Sunnee BAESkin</t>
        </is>
      </c>
      <c r="B41" s="9" t="inlineStr">
        <is>
          <t>Brands</t>
        </is>
      </c>
      <c r="C41" s="9" t="inlineStr">
        <is>
          <t>Brands / Lindsey</t>
        </is>
      </c>
      <c r="D41" s="234" t="n">
        <v>6000</v>
      </c>
      <c r="E41" s="233" t="inlineStr">
        <is>
          <t>Active</t>
        </is>
      </c>
      <c r="F41" s="9" t="inlineStr">
        <is>
          <t>8 then MTM</t>
        </is>
      </c>
      <c r="G41" s="9" t="inlineStr">
        <is>
          <t>—</t>
        </is>
      </c>
      <c r="H41" s="9" t="inlineStr">
        <is>
          <t>—</t>
        </is>
      </c>
      <c r="I41" s="9" t="inlineStr">
        <is>
          <t>—</t>
        </is>
      </c>
      <c r="J41" s="9" t="inlineStr">
        <is>
          <t>Active</t>
        </is>
      </c>
      <c r="K41" s="9" t="inlineStr">
        <is>
          <t>Retainer</t>
        </is>
      </c>
      <c r="L41" s="9" t="inlineStr">
        <is>
          <t>NYLON 100 + Allure + People</t>
        </is>
      </c>
    </row>
    <row r="42" ht="17" customHeight="1">
      <c r="A42" s="64" t="inlineStr">
        <is>
          <t>RedHanded</t>
        </is>
      </c>
      <c r="B42" s="7" t="inlineStr">
        <is>
          <t>Brands</t>
        </is>
      </c>
      <c r="C42" s="7" t="inlineStr">
        <is>
          <t>Brands / Anne</t>
        </is>
      </c>
      <c r="D42" s="232" t="n">
        <v>5000</v>
      </c>
      <c r="E42" s="233" t="inlineStr">
        <is>
          <t>Active</t>
        </is>
      </c>
      <c r="F42" s="7" t="inlineStr">
        <is>
          <t>6 then MTM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Active</t>
        </is>
      </c>
      <c r="K42" s="7" t="inlineStr">
        <is>
          <t>Retainer</t>
        </is>
      </c>
      <c r="L42" s="7" t="inlineStr">
        <is>
          <t>True crime women — Forbes</t>
        </is>
      </c>
    </row>
    <row r="43" ht="17" customHeight="1">
      <c r="A43" s="76" t="inlineStr">
        <is>
          <t>Odd Muse / Aimee Smale</t>
        </is>
      </c>
      <c r="B43" s="9" t="inlineStr">
        <is>
          <t>Brands</t>
        </is>
      </c>
      <c r="C43" s="9" t="inlineStr">
        <is>
          <t>Brands / Lindsey</t>
        </is>
      </c>
      <c r="D43" s="234" t="n">
        <v>5000</v>
      </c>
      <c r="E43" s="233" t="inlineStr">
        <is>
          <t>Active</t>
        </is>
      </c>
      <c r="F43" s="9" t="inlineStr">
        <is>
          <t>3 months</t>
        </is>
      </c>
      <c r="G43" s="9" t="inlineStr">
        <is>
          <t>—</t>
        </is>
      </c>
      <c r="H43" s="9" t="inlineStr">
        <is>
          <t>—</t>
        </is>
      </c>
      <c r="I43" s="9" t="inlineStr">
        <is>
          <t>—</t>
        </is>
      </c>
      <c r="J43" s="9" t="inlineStr">
        <is>
          <t>Active</t>
        </is>
      </c>
      <c r="K43" s="9" t="inlineStr">
        <is>
          <t>Retainer</t>
        </is>
      </c>
      <c r="L43" s="9" t="inlineStr">
        <is>
          <t>—</t>
        </is>
      </c>
    </row>
    <row r="44" ht="17" customHeight="1">
      <c r="A44" s="64" t="inlineStr">
        <is>
          <t>Auri Nutrition</t>
        </is>
      </c>
      <c r="B44" s="7" t="inlineStr">
        <is>
          <t>Brands</t>
        </is>
      </c>
      <c r="C44" s="7" t="inlineStr">
        <is>
          <t>Brands / Lindsey</t>
        </is>
      </c>
      <c r="D44" s="232" t="n">
        <v>4250</v>
      </c>
      <c r="E44" s="233" t="inlineStr">
        <is>
          <t>Active</t>
        </is>
      </c>
      <c r="F44" s="7" t="inlineStr">
        <is>
          <t>3 months</t>
        </is>
      </c>
      <c r="G44" s="7" t="inlineStr">
        <is>
          <t>—</t>
        </is>
      </c>
      <c r="H44" s="7" t="inlineStr">
        <is>
          <t>Matt</t>
        </is>
      </c>
      <c r="I44" s="7" t="n">
        <v>750</v>
      </c>
      <c r="J44" s="7" t="inlineStr">
        <is>
          <t>Active</t>
        </is>
      </c>
      <c r="K44" s="7" t="inlineStr">
        <is>
          <t>Retainer</t>
        </is>
      </c>
      <c r="L44" s="7" t="inlineStr">
        <is>
          <t>Father's Day pitch</t>
        </is>
      </c>
    </row>
    <row r="45" ht="17" customHeight="1">
      <c r="A45" s="76" t="inlineStr">
        <is>
          <t>Olivia Ponton</t>
        </is>
      </c>
      <c r="B45" s="9" t="inlineStr">
        <is>
          <t>Brands</t>
        </is>
      </c>
      <c r="C45" s="9" t="inlineStr">
        <is>
          <t>Brands / Anne</t>
        </is>
      </c>
      <c r="D45" s="234" t="n">
        <v>4050</v>
      </c>
      <c r="E45" s="233" t="inlineStr">
        <is>
          <t>Active</t>
        </is>
      </c>
      <c r="F45" s="9" t="inlineStr">
        <is>
          <t>3 months</t>
        </is>
      </c>
      <c r="G45" s="9" t="inlineStr">
        <is>
          <t>—</t>
        </is>
      </c>
      <c r="H45" s="9" t="inlineStr">
        <is>
          <t>Anne</t>
        </is>
      </c>
      <c r="I45" s="9" t="n">
        <v>450</v>
      </c>
      <c r="J45" s="9" t="inlineStr">
        <is>
          <t>Active</t>
        </is>
      </c>
      <c r="K45" s="9" t="inlineStr">
        <is>
          <t>Retainer</t>
        </is>
      </c>
      <c r="L45" s="9" t="inlineStr">
        <is>
          <t>Cannes GRWM</t>
        </is>
      </c>
    </row>
    <row r="46" ht="17" customHeight="1">
      <c r="A46" s="64" t="inlineStr">
        <is>
          <t>Cameron Rogers</t>
        </is>
      </c>
      <c r="B46" s="7" t="inlineStr">
        <is>
          <t>Brands</t>
        </is>
      </c>
      <c r="C46" s="7" t="inlineStr">
        <is>
          <t>Brands / Lindsey</t>
        </is>
      </c>
      <c r="D46" s="232" t="n">
        <v>4000</v>
      </c>
      <c r="E46" s="233" t="inlineStr">
        <is>
          <t>Active</t>
        </is>
      </c>
      <c r="F46" s="7" t="inlineStr">
        <is>
          <t>5 months</t>
        </is>
      </c>
      <c r="G46" s="7" t="inlineStr">
        <is>
          <t>—</t>
        </is>
      </c>
      <c r="H46" s="7" t="inlineStr">
        <is>
          <t>—</t>
        </is>
      </c>
      <c r="I46" s="7" t="inlineStr">
        <is>
          <t>—</t>
        </is>
      </c>
      <c r="J46" s="7" t="inlineStr">
        <is>
          <t>Active</t>
        </is>
      </c>
      <c r="K46" s="7" t="inlineStr">
        <is>
          <t>Retainer</t>
        </is>
      </c>
      <c r="L46" s="7" t="inlineStr">
        <is>
          <t>Rate reduced 3/15</t>
        </is>
      </c>
    </row>
    <row r="47" ht="17" customHeight="1">
      <c r="A47" s="76" t="inlineStr">
        <is>
          <t>Dripology</t>
        </is>
      </c>
      <c r="B47" s="9" t="inlineStr">
        <is>
          <t>Brands</t>
        </is>
      </c>
      <c r="C47" s="9" t="inlineStr">
        <is>
          <t>Brands / Lindsey</t>
        </is>
      </c>
      <c r="D47" s="234" t="inlineStr">
        <is>
          <t>—</t>
        </is>
      </c>
      <c r="E47" s="233" t="inlineStr">
        <is>
          <t>Active</t>
        </is>
      </c>
      <c r="F47" s="9" t="inlineStr">
        <is>
          <t>12 months</t>
        </is>
      </c>
      <c r="G47" s="9" t="inlineStr">
        <is>
          <t>—</t>
        </is>
      </c>
      <c r="H47" s="9" t="inlineStr">
        <is>
          <t>—</t>
        </is>
      </c>
      <c r="I47" s="9" t="inlineStr">
        <is>
          <t>—</t>
        </is>
      </c>
      <c r="J47" s="9" t="inlineStr">
        <is>
          <t>Active</t>
        </is>
      </c>
      <c r="K47" s="9" t="inlineStr">
        <is>
          <t>Retainer</t>
        </is>
      </c>
      <c r="L47" s="9" t="inlineStr">
        <is>
          <t>Rate TBD</t>
        </is>
      </c>
    </row>
    <row r="48" ht="17" customHeight="1">
      <c r="A48" s="64" t="inlineStr">
        <is>
          <t>Westlake Dermatology</t>
        </is>
      </c>
      <c r="B48" s="7" t="inlineStr">
        <is>
          <t>Brands</t>
        </is>
      </c>
      <c r="C48" s="7" t="inlineStr">
        <is>
          <t>Brands / Lindsey</t>
        </is>
      </c>
      <c r="D48" s="232" t="n">
        <v>7500</v>
      </c>
      <c r="E48" s="185" t="inlineStr">
        <is>
          <t>Departing</t>
        </is>
      </c>
      <c r="F48" s="7" t="inlineStr">
        <is>
          <t>MTM</t>
        </is>
      </c>
      <c r="G48" s="7" t="inlineStr">
        <is>
          <t>—</t>
        </is>
      </c>
      <c r="H48" s="7" t="inlineStr">
        <is>
          <t>—</t>
        </is>
      </c>
      <c r="I48" s="7" t="inlineStr">
        <is>
          <t>—</t>
        </is>
      </c>
      <c r="J48" s="7" t="inlineStr">
        <is>
          <t>Departing</t>
        </is>
      </c>
      <c r="K48" s="7" t="inlineStr">
        <is>
          <t>Retainer</t>
        </is>
      </c>
      <c r="L48" s="7" t="inlineStr">
        <is>
          <t>Final 6/18/2026</t>
        </is>
      </c>
    </row>
    <row r="49" ht="17" customHeight="1">
      <c r="A49" s="76" t="inlineStr">
        <is>
          <t>Osier</t>
        </is>
      </c>
      <c r="B49" s="9" t="inlineStr">
        <is>
          <t>Brands</t>
        </is>
      </c>
      <c r="C49" s="9" t="inlineStr">
        <is>
          <t>Brands / Lindsey</t>
        </is>
      </c>
      <c r="D49" s="234" t="n">
        <v>4275</v>
      </c>
      <c r="E49" s="185" t="inlineStr">
        <is>
          <t>Departing</t>
        </is>
      </c>
      <c r="F49" s="9" t="inlineStr">
        <is>
          <t>6 months</t>
        </is>
      </c>
      <c r="G49" s="9" t="inlineStr">
        <is>
          <t>—</t>
        </is>
      </c>
      <c r="H49" s="9" t="inlineStr">
        <is>
          <t>Juliette</t>
        </is>
      </c>
      <c r="I49" s="9" t="n">
        <v>475</v>
      </c>
      <c r="J49" s="9" t="inlineStr">
        <is>
          <t>Departing</t>
        </is>
      </c>
      <c r="K49" s="9" t="inlineStr">
        <is>
          <t>Retainer</t>
        </is>
      </c>
      <c r="L49" s="9" t="inlineStr">
        <is>
          <t>Final 6/11/2026</t>
        </is>
      </c>
    </row>
    <row r="50" ht="17" customHeight="1">
      <c r="A50" s="64" t="inlineStr">
        <is>
          <t>Purr Studio / Madison Woolley</t>
        </is>
      </c>
      <c r="B50" s="7" t="inlineStr">
        <is>
          <t>Brands</t>
        </is>
      </c>
      <c r="C50" s="7" t="inlineStr">
        <is>
          <t>Brands / Lindsey</t>
        </is>
      </c>
      <c r="D50" s="232" t="n">
        <v>8000</v>
      </c>
      <c r="E50" s="227" t="inlineStr">
        <is>
          <t>Departed</t>
        </is>
      </c>
      <c r="F50" s="7" t="inlineStr">
        <is>
          <t>6 then MTM</t>
        </is>
      </c>
      <c r="G50" s="7" t="inlineStr">
        <is>
          <t>—</t>
        </is>
      </c>
      <c r="H50" s="7" t="inlineStr">
        <is>
          <t>—</t>
        </is>
      </c>
      <c r="I50" s="7" t="inlineStr">
        <is>
          <t>—</t>
        </is>
      </c>
      <c r="J50" s="7" t="inlineStr">
        <is>
          <t>Departed</t>
        </is>
      </c>
      <c r="K50" s="7" t="inlineStr">
        <is>
          <t>Retainer</t>
        </is>
      </c>
      <c r="L50" s="7" t="inlineStr">
        <is>
          <t>Departed 5/28</t>
        </is>
      </c>
    </row>
    <row r="51" ht="17" customHeight="1">
      <c r="A51" s="76" t="inlineStr">
        <is>
          <t>Danielle Rose Russell</t>
        </is>
      </c>
      <c r="B51" s="9" t="inlineStr">
        <is>
          <t>Socials</t>
        </is>
      </c>
      <c r="C51" s="9" t="inlineStr">
        <is>
          <t>Socials / Jana</t>
        </is>
      </c>
      <c r="D51" s="234" t="n">
        <v>1800</v>
      </c>
      <c r="E51" s="233" t="inlineStr">
        <is>
          <t>Active</t>
        </is>
      </c>
      <c r="F51" s="9" t="inlineStr">
        <is>
          <t>3 months</t>
        </is>
      </c>
      <c r="G51" s="9" t="inlineStr">
        <is>
          <t>—</t>
        </is>
      </c>
      <c r="H51" s="9" t="inlineStr">
        <is>
          <t>—</t>
        </is>
      </c>
      <c r="I51" s="9" t="inlineStr">
        <is>
          <t>—</t>
        </is>
      </c>
      <c r="J51" s="9" t="inlineStr">
        <is>
          <t>Active</t>
        </is>
      </c>
      <c r="K51" s="9" t="inlineStr">
        <is>
          <t>Retainer</t>
        </is>
      </c>
      <c r="L51" s="9" t="inlineStr">
        <is>
          <t>Socials only</t>
        </is>
      </c>
    </row>
    <row r="53" ht="20" customHeight="1">
      <c r="A53" s="4" t="inlineStr">
        <is>
          <t xml:space="preserve">  tbl_Employees — ALL STAFF</t>
        </is>
      </c>
    </row>
    <row r="54" ht="18" customHeight="1">
      <c r="A54" s="39" t="inlineStr">
        <is>
          <t>Full Name</t>
        </is>
      </c>
      <c r="B54" s="39" t="inlineStr">
        <is>
          <t>Department</t>
        </is>
      </c>
      <c r="C54" s="39" t="inlineStr">
        <is>
          <t>Title</t>
        </is>
      </c>
      <c r="D54" s="39" t="inlineStr">
        <is>
          <t>FT/PT</t>
        </is>
      </c>
      <c r="E54" s="39" t="inlineStr">
        <is>
          <t>Annual Salary</t>
        </is>
      </c>
      <c r="F54" s="39" t="inlineStr">
        <is>
          <t>Monthly Cost</t>
        </is>
      </c>
      <c r="G54" s="39" t="inlineStr">
        <is>
          <t>Hire Date</t>
        </is>
      </c>
      <c r="H54" s="39" t="inlineStr">
        <is>
          <t>Pod / Team</t>
        </is>
      </c>
      <c r="I54" s="39" t="inlineStr">
        <is>
          <t>Pod 2</t>
        </is>
      </c>
      <c r="J54" s="39" t="inlineStr"/>
      <c r="K54" s="39" t="inlineStr"/>
      <c r="L54" s="39" t="inlineStr">
        <is>
          <t>Notes</t>
        </is>
      </c>
    </row>
    <row r="55" ht="17" customHeight="1">
      <c r="A55" s="64" t="inlineStr">
        <is>
          <t>Julia Matina</t>
        </is>
      </c>
      <c r="B55" s="7" t="inlineStr">
        <is>
          <t>Talent</t>
        </is>
      </c>
      <c r="C55" s="7" t="inlineStr">
        <is>
          <t>Sr. Account Executive</t>
        </is>
      </c>
      <c r="D55" s="7" t="inlineStr">
        <is>
          <t>FT</t>
        </is>
      </c>
      <c r="E55" s="216" t="n">
        <v>90000</v>
      </c>
      <c r="F55" s="216" t="n">
        <v>7500</v>
      </c>
      <c r="G55" s="7" t="inlineStr">
        <is>
          <t>8/23/2021</t>
        </is>
      </c>
      <c r="H55" s="7" t="inlineStr">
        <is>
          <t>Entertainment</t>
        </is>
      </c>
      <c r="I55" s="7" t="inlineStr"/>
      <c r="J55" s="7" t="inlineStr"/>
      <c r="K55" s="7" t="inlineStr"/>
      <c r="L55" s="7" t="inlineStr"/>
    </row>
    <row r="56" ht="17" customHeight="1">
      <c r="A56" s="76" t="inlineStr">
        <is>
          <t>Alexis Papadopoulos</t>
        </is>
      </c>
      <c r="B56" s="9" t="inlineStr">
        <is>
          <t>Talent</t>
        </is>
      </c>
      <c r="C56" s="9" t="inlineStr">
        <is>
          <t>Sr. Account Executive</t>
        </is>
      </c>
      <c r="D56" s="9" t="inlineStr">
        <is>
          <t>FT</t>
        </is>
      </c>
      <c r="E56" s="236" t="n">
        <v>80000</v>
      </c>
      <c r="F56" s="236" t="n">
        <v>6667</v>
      </c>
      <c r="G56" s="9" t="inlineStr">
        <is>
          <t>9/16/2024</t>
        </is>
      </c>
      <c r="H56" s="9" t="inlineStr">
        <is>
          <t>Beauty &amp; Fashion</t>
        </is>
      </c>
      <c r="I56" s="9" t="inlineStr"/>
      <c r="J56" s="9" t="inlineStr"/>
      <c r="K56" s="9" t="inlineStr"/>
      <c r="L56" s="9" t="inlineStr"/>
    </row>
    <row r="57" ht="17" customHeight="1">
      <c r="A57" s="64" t="inlineStr">
        <is>
          <t>Jenna Wilen</t>
        </is>
      </c>
      <c r="B57" s="7" t="inlineStr">
        <is>
          <t>Talent</t>
        </is>
      </c>
      <c r="C57" s="7" t="inlineStr">
        <is>
          <t>Account Executive</t>
        </is>
      </c>
      <c r="D57" s="7" t="inlineStr">
        <is>
          <t>FT</t>
        </is>
      </c>
      <c r="E57" s="216" t="n">
        <v>75000</v>
      </c>
      <c r="F57" s="216" t="n">
        <v>6250</v>
      </c>
      <c r="G57" s="7" t="inlineStr">
        <is>
          <t>6/15/2025</t>
        </is>
      </c>
      <c r="H57" s="7" t="inlineStr">
        <is>
          <t>Creator</t>
        </is>
      </c>
      <c r="I57" s="7" t="inlineStr"/>
      <c r="J57" s="7" t="inlineStr"/>
      <c r="K57" s="7" t="inlineStr"/>
      <c r="L57" s="7" t="inlineStr"/>
    </row>
    <row r="58" ht="17" customHeight="1">
      <c r="A58" s="76" t="inlineStr">
        <is>
          <t>Hannah Fitzpatrick</t>
        </is>
      </c>
      <c r="B58" s="9" t="inlineStr">
        <is>
          <t>Talent</t>
        </is>
      </c>
      <c r="C58" s="9" t="inlineStr">
        <is>
          <t>Jr. Account Executive</t>
        </is>
      </c>
      <c r="D58" s="9" t="inlineStr">
        <is>
          <t>FT</t>
        </is>
      </c>
      <c r="E58" s="236" t="n">
        <v>58240</v>
      </c>
      <c r="F58" s="236" t="n">
        <v>4853</v>
      </c>
      <c r="G58" s="9" t="inlineStr">
        <is>
          <t>—</t>
        </is>
      </c>
      <c r="H58" s="9" t="inlineStr">
        <is>
          <t>Creator</t>
        </is>
      </c>
      <c r="I58" s="9" t="inlineStr"/>
      <c r="J58" s="9" t="inlineStr"/>
      <c r="K58" s="9" t="inlineStr"/>
      <c r="L58" s="9" t="inlineStr"/>
    </row>
    <row r="59" ht="17" customHeight="1">
      <c r="A59" s="64" t="inlineStr">
        <is>
          <t>Sophia Ribner</t>
        </is>
      </c>
      <c r="B59" s="7" t="inlineStr">
        <is>
          <t>Talent</t>
        </is>
      </c>
      <c r="C59" s="7" t="inlineStr">
        <is>
          <t>Account Executive</t>
        </is>
      </c>
      <c r="D59" s="7" t="inlineStr">
        <is>
          <t>FT</t>
        </is>
      </c>
      <c r="E59" s="216" t="n">
        <v>69500</v>
      </c>
      <c r="F59" s="216" t="n">
        <v>5792</v>
      </c>
      <c r="G59" s="7" t="inlineStr">
        <is>
          <t>6/18/2024</t>
        </is>
      </c>
      <c r="H59" s="7" t="inlineStr">
        <is>
          <t>Athlete &amp; Fitness</t>
        </is>
      </c>
      <c r="I59" s="7" t="inlineStr"/>
      <c r="J59" s="7" t="inlineStr"/>
      <c r="K59" s="7" t="inlineStr"/>
      <c r="L59" s="7" t="inlineStr"/>
    </row>
    <row r="60" ht="17" customHeight="1">
      <c r="A60" s="76" t="inlineStr">
        <is>
          <t>Kendall Singer</t>
        </is>
      </c>
      <c r="B60" s="9" t="inlineStr">
        <is>
          <t>Talent</t>
        </is>
      </c>
      <c r="C60" s="9" t="inlineStr">
        <is>
          <t>Jr. Account Executive</t>
        </is>
      </c>
      <c r="D60" s="9" t="inlineStr">
        <is>
          <t>FT</t>
        </is>
      </c>
      <c r="E60" s="236" t="n">
        <v>58240</v>
      </c>
      <c r="F60" s="236" t="n">
        <v>4853</v>
      </c>
      <c r="G60" s="9" t="inlineStr">
        <is>
          <t>11/6/2024</t>
        </is>
      </c>
      <c r="H60" s="9" t="inlineStr">
        <is>
          <t>Beauty &amp; Fashion</t>
        </is>
      </c>
      <c r="I60" s="9" t="inlineStr"/>
      <c r="J60" s="9" t="inlineStr"/>
      <c r="K60" s="9" t="inlineStr"/>
      <c r="L60" s="9" t="inlineStr"/>
    </row>
    <row r="61" ht="17" customHeight="1">
      <c r="A61" s="64" t="inlineStr">
        <is>
          <t>Jackson Goldman</t>
        </is>
      </c>
      <c r="B61" s="7" t="inlineStr">
        <is>
          <t>Talent</t>
        </is>
      </c>
      <c r="C61" s="7" t="inlineStr">
        <is>
          <t>Account Coordinator</t>
        </is>
      </c>
      <c r="D61" s="7" t="inlineStr">
        <is>
          <t>FT</t>
        </is>
      </c>
      <c r="E61" s="216" t="n">
        <v>52000</v>
      </c>
      <c r="F61" s="216" t="n">
        <v>4333</v>
      </c>
      <c r="G61" s="7" t="inlineStr">
        <is>
          <t>4/6/2026</t>
        </is>
      </c>
      <c r="H61" s="7" t="inlineStr">
        <is>
          <t>Athlete &amp; Fitness / B&amp;F</t>
        </is>
      </c>
      <c r="I61" s="7" t="inlineStr"/>
      <c r="J61" s="7" t="inlineStr"/>
      <c r="K61" s="7" t="inlineStr"/>
      <c r="L61" s="7" t="inlineStr"/>
    </row>
    <row r="62" ht="17" customHeight="1">
      <c r="A62" s="76" t="inlineStr">
        <is>
          <t>Sophie Strasser</t>
        </is>
      </c>
      <c r="B62" s="9" t="inlineStr">
        <is>
          <t>Talent</t>
        </is>
      </c>
      <c r="C62" s="9" t="inlineStr">
        <is>
          <t>Account Coordinator</t>
        </is>
      </c>
      <c r="D62" s="9" t="inlineStr">
        <is>
          <t>FT</t>
        </is>
      </c>
      <c r="E62" s="236" t="n">
        <v>52000</v>
      </c>
      <c r="F62" s="236" t="n">
        <v>4333</v>
      </c>
      <c r="G62" s="9" t="inlineStr">
        <is>
          <t>8/11/2025</t>
        </is>
      </c>
      <c r="H62" s="9" t="inlineStr">
        <is>
          <t>Creator / Entertainment</t>
        </is>
      </c>
      <c r="I62" s="9" t="inlineStr"/>
      <c r="J62" s="9" t="inlineStr"/>
      <c r="K62" s="9" t="inlineStr"/>
      <c r="L62" s="9" t="inlineStr"/>
    </row>
    <row r="63" ht="17" customHeight="1">
      <c r="A63" s="64" t="inlineStr">
        <is>
          <t>Caitlyn Fruehauf</t>
        </is>
      </c>
      <c r="B63" s="7" t="inlineStr">
        <is>
          <t>Talent</t>
        </is>
      </c>
      <c r="C63" s="7" t="inlineStr">
        <is>
          <t>Events Manager</t>
        </is>
      </c>
      <c r="D63" s="7" t="inlineStr">
        <is>
          <t>FT</t>
        </is>
      </c>
      <c r="E63" s="216" t="n">
        <v>72072</v>
      </c>
      <c r="F63" s="216" t="n">
        <v>6006</v>
      </c>
      <c r="G63" s="7" t="inlineStr">
        <is>
          <t>8/15/2023</t>
        </is>
      </c>
      <c r="H63" s="7" t="inlineStr">
        <is>
          <t>Shared (25% each pod)</t>
        </is>
      </c>
      <c r="I63" s="7" t="inlineStr"/>
      <c r="J63" s="7" t="inlineStr"/>
      <c r="K63" s="7" t="inlineStr"/>
      <c r="L63" s="7" t="inlineStr"/>
    </row>
    <row r="64" ht="17" customHeight="1">
      <c r="A64" s="76" t="inlineStr">
        <is>
          <t>Valeria Flores</t>
        </is>
      </c>
      <c r="B64" s="9" t="inlineStr">
        <is>
          <t>Talent</t>
        </is>
      </c>
      <c r="C64" s="9" t="inlineStr">
        <is>
          <t>Events &amp; Social Media</t>
        </is>
      </c>
      <c r="D64" s="9" t="inlineStr">
        <is>
          <t>FT</t>
        </is>
      </c>
      <c r="E64" s="236" t="n">
        <v>52000</v>
      </c>
      <c r="F64" s="236" t="n">
        <v>4333</v>
      </c>
      <c r="G64" s="9" t="inlineStr">
        <is>
          <t>9/22/2025</t>
        </is>
      </c>
      <c r="H64" s="9" t="inlineStr">
        <is>
          <t>Shared (17.5% each pod)</t>
        </is>
      </c>
      <c r="I64" s="9" t="inlineStr"/>
      <c r="J64" s="9" t="inlineStr"/>
      <c r="K64" s="9" t="inlineStr"/>
      <c r="L64" s="9" t="inlineStr"/>
    </row>
    <row r="65" ht="17" customHeight="1">
      <c r="A65" s="64" t="inlineStr">
        <is>
          <t>Anne Leopard</t>
        </is>
      </c>
      <c r="B65" s="7" t="inlineStr">
        <is>
          <t>Brands</t>
        </is>
      </c>
      <c r="C65" s="7" t="inlineStr">
        <is>
          <t>Director of PR &amp; Strategy</t>
        </is>
      </c>
      <c r="D65" s="7" t="inlineStr">
        <is>
          <t>FT</t>
        </is>
      </c>
      <c r="E65" s="216" t="n">
        <v>115000</v>
      </c>
      <c r="F65" s="216" t="n">
        <v>9583</v>
      </c>
      <c r="G65" s="7" t="inlineStr">
        <is>
          <t>4/20/2026</t>
        </is>
      </c>
      <c r="H65" s="7" t="inlineStr">
        <is>
          <t>Brands</t>
        </is>
      </c>
      <c r="I65" s="7" t="inlineStr"/>
      <c r="J65" s="7" t="inlineStr"/>
      <c r="K65" s="7" t="inlineStr"/>
      <c r="L65" s="7" t="inlineStr"/>
    </row>
    <row r="66" ht="17" customHeight="1">
      <c r="A66" s="76" t="inlineStr">
        <is>
          <t>Lindsey LeDoux</t>
        </is>
      </c>
      <c r="B66" s="9" t="inlineStr">
        <is>
          <t>Brands</t>
        </is>
      </c>
      <c r="C66" s="9" t="inlineStr">
        <is>
          <t>Sr. Account Executive</t>
        </is>
      </c>
      <c r="D66" s="9" t="inlineStr">
        <is>
          <t>FT</t>
        </is>
      </c>
      <c r="E66" s="236" t="n">
        <v>85000</v>
      </c>
      <c r="F66" s="236" t="n">
        <v>7083</v>
      </c>
      <c r="G66" s="9" t="inlineStr">
        <is>
          <t>5/23/2022</t>
        </is>
      </c>
      <c r="H66" s="9" t="inlineStr">
        <is>
          <t>Brands</t>
        </is>
      </c>
      <c r="I66" s="9" t="inlineStr"/>
      <c r="J66" s="9" t="inlineStr"/>
      <c r="K66" s="9" t="inlineStr"/>
      <c r="L66" s="9" t="inlineStr"/>
    </row>
    <row r="67" ht="17" customHeight="1">
      <c r="A67" s="64" t="inlineStr">
        <is>
          <t>Annabel Stolar</t>
        </is>
      </c>
      <c r="B67" s="7" t="inlineStr">
        <is>
          <t>Brands</t>
        </is>
      </c>
      <c r="C67" s="7" t="inlineStr">
        <is>
          <t>Jr. Account Executive</t>
        </is>
      </c>
      <c r="D67" s="7" t="inlineStr">
        <is>
          <t>FT</t>
        </is>
      </c>
      <c r="E67" s="216" t="n">
        <v>58240</v>
      </c>
      <c r="F67" s="216" t="n">
        <v>4853</v>
      </c>
      <c r="G67" s="7" t="inlineStr">
        <is>
          <t>10/30/2023</t>
        </is>
      </c>
      <c r="H67" s="7" t="inlineStr">
        <is>
          <t>Brands</t>
        </is>
      </c>
      <c r="I67" s="7" t="inlineStr"/>
      <c r="J67" s="7" t="inlineStr"/>
      <c r="K67" s="7" t="inlineStr"/>
      <c r="L67" s="7" t="inlineStr"/>
    </row>
    <row r="68" ht="17" customHeight="1">
      <c r="A68" s="76" t="inlineStr">
        <is>
          <t>Madalynn Lewis</t>
        </is>
      </c>
      <c r="B68" s="9" t="inlineStr">
        <is>
          <t>Brands</t>
        </is>
      </c>
      <c r="C68" s="9" t="inlineStr">
        <is>
          <t>Account Coordinator</t>
        </is>
      </c>
      <c r="D68" s="9" t="inlineStr">
        <is>
          <t>FT</t>
        </is>
      </c>
      <c r="E68" s="236" t="n">
        <v>52000</v>
      </c>
      <c r="F68" s="236" t="n">
        <v>4333</v>
      </c>
      <c r="G68" s="9" t="inlineStr">
        <is>
          <t>2/9/2026</t>
        </is>
      </c>
      <c r="H68" s="9" t="inlineStr">
        <is>
          <t>Brands</t>
        </is>
      </c>
      <c r="I68" s="9" t="inlineStr"/>
      <c r="J68" s="9" t="inlineStr"/>
      <c r="K68" s="9" t="inlineStr"/>
      <c r="L68" s="9" t="inlineStr"/>
    </row>
    <row r="69" ht="17" customHeight="1">
      <c r="A69" s="64" t="inlineStr">
        <is>
          <t>Naomi Rothschild</t>
        </is>
      </c>
      <c r="B69" s="7" t="inlineStr">
        <is>
          <t>Brands</t>
        </is>
      </c>
      <c r="C69" s="7" t="inlineStr">
        <is>
          <t>Account Coordinator</t>
        </is>
      </c>
      <c r="D69" s="7" t="inlineStr">
        <is>
          <t>FT</t>
        </is>
      </c>
      <c r="E69" s="216" t="n">
        <v>52000</v>
      </c>
      <c r="F69" s="216" t="n">
        <v>4333</v>
      </c>
      <c r="G69" s="7" t="inlineStr">
        <is>
          <t>4/14/2025</t>
        </is>
      </c>
      <c r="H69" s="7" t="inlineStr">
        <is>
          <t>Brands</t>
        </is>
      </c>
      <c r="I69" s="7" t="inlineStr"/>
      <c r="J69" s="7" t="inlineStr"/>
      <c r="K69" s="7" t="inlineStr"/>
      <c r="L69" s="7" t="inlineStr"/>
    </row>
    <row r="70" ht="17" customHeight="1">
      <c r="A70" s="76" t="inlineStr">
        <is>
          <t>Jana Rosenberg</t>
        </is>
      </c>
      <c r="B70" s="9" t="inlineStr">
        <is>
          <t>Socials</t>
        </is>
      </c>
      <c r="C70" s="9" t="inlineStr">
        <is>
          <t>Social Media Lead</t>
        </is>
      </c>
      <c r="D70" s="9" t="inlineStr">
        <is>
          <t>PT</t>
        </is>
      </c>
      <c r="E70" s="236" t="n">
        <v>18000</v>
      </c>
      <c r="F70" s="236" t="n">
        <v>1500</v>
      </c>
      <c r="G70" s="9" t="inlineStr">
        <is>
          <t>3/10/2025</t>
        </is>
      </c>
      <c r="H70" s="9" t="inlineStr">
        <is>
          <t>Socials</t>
        </is>
      </c>
      <c r="I70" s="9" t="inlineStr"/>
      <c r="J70" s="9" t="inlineStr"/>
      <c r="K70" s="9" t="inlineStr"/>
      <c r="L70" s="9" t="inlineStr"/>
    </row>
    <row r="71" ht="17" customHeight="1">
      <c r="A71" s="64" t="inlineStr">
        <is>
          <t>Emily Marcus</t>
        </is>
      </c>
      <c r="B71" s="7" t="inlineStr">
        <is>
          <t>Operations</t>
        </is>
      </c>
      <c r="C71" s="7" t="inlineStr">
        <is>
          <t>CEO &amp; Founder</t>
        </is>
      </c>
      <c r="D71" s="7" t="inlineStr">
        <is>
          <t>FT</t>
        </is>
      </c>
      <c r="E71" s="216" t="n">
        <v>70000</v>
      </c>
      <c r="F71" s="216" t="n">
        <v>5833</v>
      </c>
      <c r="G71" s="7" t="inlineStr">
        <is>
          <t>—</t>
        </is>
      </c>
      <c r="H71" s="7" t="inlineStr">
        <is>
          <t>Operations</t>
        </is>
      </c>
      <c r="I71" s="7" t="inlineStr"/>
      <c r="J71" s="7" t="inlineStr"/>
      <c r="K71" s="7" t="inlineStr"/>
      <c r="L71" s="7" t="inlineStr"/>
    </row>
    <row r="72" ht="17" customHeight="1">
      <c r="A72" s="76" t="inlineStr">
        <is>
          <t>Haley Josephson</t>
        </is>
      </c>
      <c r="B72" s="9" t="inlineStr">
        <is>
          <t>Operations</t>
        </is>
      </c>
      <c r="C72" s="9" t="inlineStr">
        <is>
          <t>Director of Operations</t>
        </is>
      </c>
      <c r="D72" s="9" t="inlineStr">
        <is>
          <t>FT</t>
        </is>
      </c>
      <c r="E72" s="236" t="n">
        <v>120000</v>
      </c>
      <c r="F72" s="236" t="n">
        <v>10000</v>
      </c>
      <c r="G72" s="9" t="inlineStr">
        <is>
          <t>9/3/2020</t>
        </is>
      </c>
      <c r="H72" s="9" t="inlineStr">
        <is>
          <t>Operations</t>
        </is>
      </c>
      <c r="I72" s="9" t="inlineStr"/>
      <c r="J72" s="9" t="inlineStr"/>
      <c r="K72" s="9" t="inlineStr"/>
      <c r="L72" s="9" t="inlineStr"/>
    </row>
    <row r="73" ht="17" customHeight="1">
      <c r="A73" s="64" t="inlineStr">
        <is>
          <t>Anita Bachkabakian</t>
        </is>
      </c>
      <c r="B73" s="7" t="inlineStr">
        <is>
          <t>Operations</t>
        </is>
      </c>
      <c r="C73" s="7" t="inlineStr">
        <is>
          <t>Operations Manager</t>
        </is>
      </c>
      <c r="D73" s="7" t="inlineStr">
        <is>
          <t>FT</t>
        </is>
      </c>
      <c r="E73" s="216" t="n">
        <v>97000</v>
      </c>
      <c r="F73" s="216" t="n">
        <v>8083</v>
      </c>
      <c r="G73" s="7" t="inlineStr">
        <is>
          <t>10/18/2021</t>
        </is>
      </c>
      <c r="H73" s="7" t="inlineStr">
        <is>
          <t>Operations</t>
        </is>
      </c>
      <c r="I73" s="7" t="inlineStr"/>
      <c r="J73" s="7" t="inlineStr"/>
      <c r="K73" s="7" t="inlineStr"/>
      <c r="L73" s="7" t="inlineStr"/>
    </row>
    <row r="74" ht="17" customHeight="1">
      <c r="A74" s="76" t="inlineStr">
        <is>
          <t>Nicole Pila</t>
        </is>
      </c>
      <c r="B74" s="9" t="inlineStr">
        <is>
          <t>Operations</t>
        </is>
      </c>
      <c r="C74" s="9" t="inlineStr">
        <is>
          <t>BD Lead</t>
        </is>
      </c>
      <c r="D74" s="9" t="inlineStr">
        <is>
          <t>FT</t>
        </is>
      </c>
      <c r="E74" s="236" t="n">
        <v>75600</v>
      </c>
      <c r="F74" s="236" t="n">
        <v>6300</v>
      </c>
      <c r="G74" s="9" t="inlineStr">
        <is>
          <t>8/5/2024</t>
        </is>
      </c>
      <c r="H74" s="9" t="inlineStr">
        <is>
          <t>Operations</t>
        </is>
      </c>
      <c r="I74" s="9" t="inlineStr"/>
      <c r="J74" s="9" t="inlineStr"/>
      <c r="K74" s="9" t="inlineStr"/>
      <c r="L74" s="9" t="inlineStr"/>
    </row>
    <row r="75" ht="17" customHeight="1">
      <c r="A75" s="64" t="inlineStr">
        <is>
          <t>Tobey Lynn Reyes</t>
        </is>
      </c>
      <c r="B75" s="7" t="inlineStr">
        <is>
          <t>Operations</t>
        </is>
      </c>
      <c r="C75" s="7" t="inlineStr">
        <is>
          <t>Personal Assistant</t>
        </is>
      </c>
      <c r="D75" s="7" t="inlineStr">
        <is>
          <t>PT</t>
        </is>
      </c>
      <c r="E75" s="216" t="n">
        <v>55120</v>
      </c>
      <c r="F75" s="216" t="n">
        <v>4593</v>
      </c>
      <c r="G75" s="7" t="inlineStr">
        <is>
          <t>9/24/2026</t>
        </is>
      </c>
      <c r="H75" s="7" t="inlineStr">
        <is>
          <t>Operations</t>
        </is>
      </c>
      <c r="I75" s="7" t="inlineStr"/>
      <c r="J75" s="7" t="inlineStr"/>
      <c r="K75" s="7" t="inlineStr"/>
      <c r="L75" s="7" t="inlineStr"/>
    </row>
    <row r="77" ht="20" customHeight="1">
      <c r="A77" s="4" t="inlineStr">
        <is>
          <t xml:space="preserve">  tbl_OpsBudget — OPERATING BUDGET</t>
        </is>
      </c>
    </row>
    <row r="78" ht="18" customHeight="1">
      <c r="A78" s="39" t="inlineStr">
        <is>
          <t>Category</t>
        </is>
      </c>
      <c r="B78" s="39" t="inlineStr">
        <is>
          <t>Monthly Budget</t>
        </is>
      </c>
      <c r="C78" s="39" t="inlineStr">
        <is>
          <t>Annual Budget</t>
        </is>
      </c>
      <c r="D78" s="39" t="inlineStr">
        <is>
          <t>Dec Budget</t>
        </is>
      </c>
      <c r="E78" s="39" t="inlineStr">
        <is>
          <t>Status</t>
        </is>
      </c>
      <c r="F78" s="39" t="inlineStr"/>
      <c r="G78" s="39" t="inlineStr"/>
      <c r="H78" s="39" t="inlineStr"/>
      <c r="I78" s="39" t="inlineStr"/>
      <c r="J78" s="39" t="inlineStr"/>
      <c r="K78" s="39" t="inlineStr"/>
      <c r="L78" s="39" t="inlineStr">
        <is>
          <t>Notes</t>
        </is>
      </c>
    </row>
    <row r="79" ht="18" customHeight="1">
      <c r="A79" s="64" t="inlineStr">
        <is>
          <t>Meals</t>
        </is>
      </c>
      <c r="B79" s="216" t="inlineStr">
        <is>
          <t>$1,500</t>
        </is>
      </c>
      <c r="C79" s="44" t="inlineStr">
        <is>
          <t>$18,000</t>
        </is>
      </c>
      <c r="D79" s="44" t="inlineStr">
        <is>
          <t>$1,500</t>
        </is>
      </c>
      <c r="E79" s="37" t="inlineStr"/>
      <c r="F79" s="37" t="inlineStr"/>
      <c r="G79" s="37" t="inlineStr"/>
      <c r="H79" s="37" t="inlineStr"/>
      <c r="I79" s="37" t="inlineStr"/>
      <c r="J79" s="37" t="inlineStr"/>
      <c r="K79" s="37" t="inlineStr"/>
      <c r="L79" s="88" t="inlineStr">
        <is>
          <t>Dec: $5,000. Team lunches NYC+LA: $600. Remainder for Emily's meals/entertainment.</t>
        </is>
      </c>
    </row>
    <row r="80" ht="18" customHeight="1">
      <c r="A80" s="76" t="inlineStr">
        <is>
          <t>Travel</t>
        </is>
      </c>
      <c r="B80" s="236" t="inlineStr">
        <is>
          <t>$3,000</t>
        </is>
      </c>
      <c r="C80" s="50" t="inlineStr">
        <is>
          <t>$36,000</t>
        </is>
      </c>
      <c r="D80" s="50" t="inlineStr">
        <is>
          <t>$3,000</t>
        </is>
      </c>
      <c r="E80" s="166" t="inlineStr"/>
      <c r="F80" s="166" t="inlineStr"/>
      <c r="G80" s="166" t="inlineStr"/>
      <c r="H80" s="166" t="inlineStr"/>
      <c r="I80" s="166" t="inlineStr"/>
      <c r="J80" s="166" t="inlineStr"/>
      <c r="K80" s="166" t="inlineStr"/>
      <c r="L80" s="93" t="inlineStr">
        <is>
          <t>Rideshares, flights, hotels. Map travel-heavy months in advance.</t>
        </is>
      </c>
    </row>
    <row r="81" ht="18" customHeight="1">
      <c r="A81" s="64" t="inlineStr">
        <is>
          <t>Muck Rack</t>
        </is>
      </c>
      <c r="B81" s="216" t="inlineStr">
        <is>
          <t>$8,500</t>
        </is>
      </c>
      <c r="C81" s="44" t="inlineStr">
        <is>
          <t>$102,000</t>
        </is>
      </c>
      <c r="D81" s="44" t="inlineStr">
        <is>
          <t>$8,500</t>
        </is>
      </c>
      <c r="E81" s="37" t="inlineStr"/>
      <c r="F81" s="37" t="inlineStr"/>
      <c r="G81" s="37" t="inlineStr"/>
      <c r="H81" s="37" t="inlineStr"/>
      <c r="I81" s="37" t="inlineStr"/>
      <c r="J81" s="37" t="inlineStr"/>
      <c r="K81" s="37" t="inlineStr"/>
      <c r="L81" s="88" t="inlineStr">
        <is>
          <t>⚠ Confirm actual amount — estimate based on agency standard</t>
        </is>
      </c>
    </row>
    <row r="82" ht="18" customHeight="1">
      <c r="A82" s="76" t="inlineStr">
        <is>
          <t>Software &amp; Subscriptions</t>
        </is>
      </c>
      <c r="B82" s="236" t="inlineStr">
        <is>
          <t>$3,000</t>
        </is>
      </c>
      <c r="C82" s="50" t="inlineStr">
        <is>
          <t>$36,000</t>
        </is>
      </c>
      <c r="D82" s="50" t="inlineStr">
        <is>
          <t>$3,000</t>
        </is>
      </c>
      <c r="E82" s="166" t="inlineStr"/>
      <c r="F82" s="166" t="inlineStr"/>
      <c r="G82" s="166" t="inlineStr"/>
      <c r="H82" s="166" t="inlineStr"/>
      <c r="I82" s="166" t="inlineStr"/>
      <c r="J82" s="166" t="inlineStr"/>
      <c r="K82" s="166" t="inlineStr"/>
      <c r="L82" s="93" t="inlineStr">
        <is>
          <t>⚠ Confirm actual amount — breakdown needed from Ops</t>
        </is>
      </c>
    </row>
    <row r="83" ht="18" customHeight="1">
      <c r="A83" s="64" t="inlineStr">
        <is>
          <t>Recruiting</t>
        </is>
      </c>
      <c r="B83" s="216" t="inlineStr">
        <is>
          <t>$2,000</t>
        </is>
      </c>
      <c r="C83" s="44" t="inlineStr">
        <is>
          <t>$24,000</t>
        </is>
      </c>
      <c r="D83" s="44" t="inlineStr">
        <is>
          <t>$2,000</t>
        </is>
      </c>
      <c r="E83" s="37" t="inlineStr"/>
      <c r="F83" s="37" t="inlineStr"/>
      <c r="G83" s="37" t="inlineStr"/>
      <c r="H83" s="37" t="inlineStr"/>
      <c r="I83" s="37" t="inlineStr"/>
      <c r="J83" s="37" t="inlineStr"/>
      <c r="K83" s="37" t="inlineStr"/>
      <c r="L83" s="88" t="inlineStr">
        <is>
          <t>⚠ Confirm actual amount — variable by hiring cycle</t>
        </is>
      </c>
    </row>
    <row r="84" ht="18" customHeight="1">
      <c r="A84" s="76" t="inlineStr">
        <is>
          <t>Events &amp; Activations</t>
        </is>
      </c>
      <c r="B84" s="236" t="inlineStr">
        <is>
          <t>$5,000</t>
        </is>
      </c>
      <c r="C84" s="50" t="inlineStr">
        <is>
          <t>$60,000</t>
        </is>
      </c>
      <c r="D84" s="50" t="inlineStr">
        <is>
          <t>$5,000</t>
        </is>
      </c>
      <c r="E84" s="166" t="inlineStr"/>
      <c r="F84" s="166" t="inlineStr"/>
      <c r="G84" s="166" t="inlineStr"/>
      <c r="H84" s="166" t="inlineStr"/>
      <c r="I84" s="166" t="inlineStr"/>
      <c r="J84" s="166" t="inlineStr"/>
      <c r="K84" s="166" t="inlineStr"/>
      <c r="L84" s="93" t="inlineStr">
        <is>
          <t>⚠ Confirm actual amount — variable</t>
        </is>
      </c>
    </row>
    <row r="85" ht="18" customHeight="1">
      <c r="A85" s="64" t="inlineStr">
        <is>
          <t>Office &amp; Supplies</t>
        </is>
      </c>
      <c r="B85" s="216" t="inlineStr">
        <is>
          <t>$1,000</t>
        </is>
      </c>
      <c r="C85" s="44" t="inlineStr">
        <is>
          <t>$12,000</t>
        </is>
      </c>
      <c r="D85" s="44" t="inlineStr">
        <is>
          <t>$1,000</t>
        </is>
      </c>
      <c r="E85" s="37" t="inlineStr"/>
      <c r="F85" s="37" t="inlineStr"/>
      <c r="G85" s="37" t="inlineStr"/>
      <c r="H85" s="37" t="inlineStr"/>
      <c r="I85" s="37" t="inlineStr"/>
      <c r="J85" s="37" t="inlineStr"/>
      <c r="K85" s="37" t="inlineStr"/>
      <c r="L85" s="88" t="inlineStr">
        <is>
          <t>⚠ Confirm actual amount</t>
        </is>
      </c>
    </row>
    <row r="86" ht="18" customHeight="1">
      <c r="A86" s="76" t="inlineStr">
        <is>
          <t>Other Operating</t>
        </is>
      </c>
      <c r="B86" s="236" t="inlineStr">
        <is>
          <t>$50,000</t>
        </is>
      </c>
      <c r="C86" s="50" t="inlineStr">
        <is>
          <t>$600,000</t>
        </is>
      </c>
      <c r="D86" s="50" t="inlineStr">
        <is>
          <t>$50,000</t>
        </is>
      </c>
      <c r="E86" s="166" t="inlineStr"/>
      <c r="F86" s="166" t="inlineStr"/>
      <c r="G86" s="166" t="inlineStr"/>
      <c r="H86" s="166" t="inlineStr"/>
      <c r="I86" s="166" t="inlineStr"/>
      <c r="J86" s="166" t="inlineStr"/>
      <c r="K86" s="166" t="inlineStr"/>
      <c r="L86" s="93" t="inlineStr">
        <is>
          <t>⚠ Remaining of $73K opex — needs full breakdown</t>
        </is>
      </c>
    </row>
    <row r="89" ht="20" customHeight="1">
      <c r="A89" s="4" t="inlineStr">
        <is>
          <t xml:space="preserve">  KEY FINANCIAL CONSTANTS — edit here to update all tabs</t>
        </is>
      </c>
    </row>
    <row r="90" ht="18" customHeight="1">
      <c r="A90" s="64" t="inlineStr">
        <is>
          <t>Total Monthly Revenue</t>
        </is>
      </c>
      <c r="B90" s="65" t="inlineStr">
        <is>
          <t>$272,125</t>
        </is>
      </c>
      <c r="C90" s="69" t="inlineStr">
        <is>
          <t>Sum of all active client retainers</t>
        </is>
      </c>
    </row>
    <row r="91" ht="18" customHeight="1">
      <c r="A91" s="76" t="inlineStr">
        <is>
          <t>Total Monthly Payroll</t>
        </is>
      </c>
      <c r="B91" s="237" t="inlineStr">
        <is>
          <t>$121,418</t>
        </is>
      </c>
      <c r="C91" s="74" t="inlineStr">
        <is>
          <t>All departments combined</t>
        </is>
      </c>
    </row>
    <row r="92" ht="18" customHeight="1">
      <c r="A92" s="64" t="inlineStr">
        <is>
          <t>Total Monthly Opex</t>
        </is>
      </c>
      <c r="B92" s="65" t="inlineStr">
        <is>
          <t>$73,000</t>
        </is>
      </c>
      <c r="C92" s="69" t="inlineStr">
        <is>
          <t>Operating expenses excluding payroll</t>
        </is>
      </c>
    </row>
    <row r="93" ht="18" customHeight="1">
      <c r="A93" s="76" t="inlineStr">
        <is>
          <t>Total Monthly Expenses</t>
        </is>
      </c>
      <c r="B93" s="237" t="inlineStr">
        <is>
          <t>$180,478</t>
        </is>
      </c>
      <c r="C93" s="74" t="inlineStr">
        <is>
          <t>Payroll + Opex</t>
        </is>
      </c>
    </row>
    <row r="94" ht="18" customHeight="1">
      <c r="A94" s="64" t="inlineStr">
        <is>
          <t>Net Monthly Profit</t>
        </is>
      </c>
      <c r="B94" s="65" t="inlineStr">
        <is>
          <t>$91,647</t>
        </is>
      </c>
      <c r="C94" s="69" t="inlineStr">
        <is>
          <t>Revenue - Expenses</t>
        </is>
      </c>
    </row>
    <row r="95" ht="18" customHeight="1">
      <c r="A95" s="76" t="inlineStr">
        <is>
          <t>Net Margin</t>
        </is>
      </c>
      <c r="B95" s="237" t="inlineStr">
        <is>
          <t>33.7%</t>
        </is>
      </c>
      <c r="C95" s="74" t="inlineStr">
        <is>
          <t>Profit / Revenue</t>
        </is>
      </c>
    </row>
    <row r="96" ht="18" customHeight="1">
      <c r="A96" s="64" t="inlineStr">
        <is>
          <t>Revenue Goal (2026)</t>
        </is>
      </c>
      <c r="B96" s="65" t="inlineStr">
        <is>
          <t>$215,000</t>
        </is>
      </c>
      <c r="C96" s="69" t="inlineStr">
        <is>
          <t>Set per Emily's email</t>
        </is>
      </c>
    </row>
    <row r="97" ht="18" customHeight="1">
      <c r="A97" s="76" t="inlineStr">
        <is>
          <t>Total Commission Paid/Mo</t>
        </is>
      </c>
      <c r="B97" s="237" t="inlineStr">
        <is>
          <t>$4,675</t>
        </is>
      </c>
      <c r="C97" s="74" t="inlineStr">
        <is>
          <t>External referrers</t>
        </is>
      </c>
    </row>
    <row r="98" ht="18" customHeight="1">
      <c r="A98" s="64" t="inlineStr">
        <is>
          <t>Total Annual Raise Cost</t>
        </is>
      </c>
      <c r="B98" s="65" t="inlineStr">
        <is>
          <t>$50,012</t>
        </is>
      </c>
      <c r="C98" s="69" t="inlineStr">
        <is>
          <t>Full raise schedule implemented</t>
        </is>
      </c>
    </row>
    <row r="99" ht="18" customHeight="1">
      <c r="A99" s="76" t="inlineStr">
        <is>
          <t>Monthly Payroll Increase</t>
        </is>
      </c>
      <c r="B99" s="237" t="inlineStr">
        <is>
          <t>$4,497</t>
        </is>
      </c>
      <c r="C99" s="74" t="inlineStr">
        <is>
          <t>When all raises implemented</t>
        </is>
      </c>
    </row>
  </sheetData>
  <mergeCells count="17">
    <mergeCell ref="A2:L2"/>
    <mergeCell ref="C93:L93"/>
    <mergeCell ref="C99:L99"/>
    <mergeCell ref="C97:L97"/>
    <mergeCell ref="C96:L96"/>
    <mergeCell ref="A1:L1"/>
    <mergeCell ref="C92:L92"/>
    <mergeCell ref="A89:L89"/>
    <mergeCell ref="C90:L90"/>
    <mergeCell ref="C91:L91"/>
    <mergeCell ref="C95:L95"/>
    <mergeCell ref="A3:L3"/>
    <mergeCell ref="A77:L77"/>
    <mergeCell ref="A53:L53"/>
    <mergeCell ref="C94:L94"/>
    <mergeCell ref="A4:L4"/>
    <mergeCell ref="C98:L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2026-06-03T18:20:39Z</dcterms:created>
  <dcterms:modified xmlns:dcterms="http://purl.org/dc/terms/" xmlns:xsi="http://www.w3.org/2001/XMLSchema-instance" xsi:type="dcterms:W3CDTF">2026-06-03T18:20:40Z</dcterms:modified>
</cp:coreProperties>
</file>